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b Paul\Downloads\Data Analysis Project\Product management\"/>
    </mc:Choice>
  </mc:AlternateContent>
  <xr:revisionPtr revIDLastSave="0" documentId="8_{D331C66C-B6B0-4A9F-872F-6B86E8F34CAE}" xr6:coauthVersionLast="47" xr6:coauthVersionMax="47" xr10:uidLastSave="{00000000-0000-0000-0000-000000000000}"/>
  <bookViews>
    <workbookView xWindow="-108" yWindow="-108" windowWidth="23256" windowHeight="12456" xr2:uid="{01223FB9-B2E5-4D8F-BE4F-FFDB17D31107}"/>
  </bookViews>
  <sheets>
    <sheet name="Clean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5" i="1" l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<sst xmlns="http://schemas.openxmlformats.org/spreadsheetml/2006/main" count="1474" uniqueCount="506">
  <si>
    <t>Full Name</t>
  </si>
  <si>
    <t>order I'D</t>
  </si>
  <si>
    <t>Purchase Year</t>
  </si>
  <si>
    <t>Purchase Month</t>
  </si>
  <si>
    <t>Purchase Date</t>
  </si>
  <si>
    <t>Product Purchased</t>
  </si>
  <si>
    <t>Amount Paid</t>
  </si>
  <si>
    <t>Payment Status</t>
  </si>
  <si>
    <t>City</t>
  </si>
  <si>
    <t>Delivery Status</t>
  </si>
  <si>
    <t>Kiara Kuruvilla</t>
  </si>
  <si>
    <t>CA-2013-124254</t>
  </si>
  <si>
    <t>Mouse</t>
  </si>
  <si>
    <t>Paid</t>
  </si>
  <si>
    <t>Mumbai</t>
  </si>
  <si>
    <t>Delivered</t>
  </si>
  <si>
    <t>Rahul Gupta</t>
  </si>
  <si>
    <t>CA-2011-100706</t>
  </si>
  <si>
    <t>Laptop</t>
  </si>
  <si>
    <t>Pending</t>
  </si>
  <si>
    <t>Pune</t>
  </si>
  <si>
    <t>InTransit</t>
  </si>
  <si>
    <t>Armaan Mander</t>
  </si>
  <si>
    <t>CA-2014-117198</t>
  </si>
  <si>
    <t>Tablet</t>
  </si>
  <si>
    <t>Bangalore</t>
  </si>
  <si>
    <t>Kabir Sampath</t>
  </si>
  <si>
    <t>CA-2012-151624</t>
  </si>
  <si>
    <t>Monitor</t>
  </si>
  <si>
    <t>Cancelled</t>
  </si>
  <si>
    <t>Aradhya Bhardwaj</t>
  </si>
  <si>
    <t>CA-2013-102092</t>
  </si>
  <si>
    <t>Chennai</t>
  </si>
  <si>
    <t>Arhaan Magar</t>
  </si>
  <si>
    <t>CA-2014-117079</t>
  </si>
  <si>
    <t>Smartwatch</t>
  </si>
  <si>
    <t>Ahmedabad</t>
  </si>
  <si>
    <t>Yakshit Grewal</t>
  </si>
  <si>
    <t>CA-2013-159765</t>
  </si>
  <si>
    <t>Hyderabad</t>
  </si>
  <si>
    <t>Jayesh Vaidya</t>
  </si>
  <si>
    <t>CA-2014-110310</t>
  </si>
  <si>
    <t>Aayush Khatri</t>
  </si>
  <si>
    <t>CA-2013-166485</t>
  </si>
  <si>
    <t>Rohan Rana</t>
  </si>
  <si>
    <t>CA-2012-108119</t>
  </si>
  <si>
    <t>Failed</t>
  </si>
  <si>
    <t>Surat</t>
  </si>
  <si>
    <t>Rohan Sane</t>
  </si>
  <si>
    <t>CA-2012-161445</t>
  </si>
  <si>
    <t>Anvi Deol</t>
  </si>
  <si>
    <t>CA-2013-143805</t>
  </si>
  <si>
    <t>Keyboard</t>
  </si>
  <si>
    <t>Kolkata</t>
  </si>
  <si>
    <t>Rati Kapur</t>
  </si>
  <si>
    <t>CA-2013-144344</t>
  </si>
  <si>
    <t>Rhea Edwin</t>
  </si>
  <si>
    <t>CA-2014-113481</t>
  </si>
  <si>
    <t>Tara Master</t>
  </si>
  <si>
    <t>CA-2012-153752</t>
  </si>
  <si>
    <t>Taimur Gour</t>
  </si>
  <si>
    <t>CA-2012-154291</t>
  </si>
  <si>
    <t>Mehul Rana</t>
  </si>
  <si>
    <t>CA-2012-155453</t>
  </si>
  <si>
    <t>Jaipur</t>
  </si>
  <si>
    <t>Damini Divan</t>
  </si>
  <si>
    <t>CA-2011-111500</t>
  </si>
  <si>
    <t>Saksham Buch</t>
  </si>
  <si>
    <t>CA-2013-152156</t>
  </si>
  <si>
    <t>Headphones</t>
  </si>
  <si>
    <t>Ranbir Agarwal</t>
  </si>
  <si>
    <t>CA-2013-121020</t>
  </si>
  <si>
    <t>Jivin Bath</t>
  </si>
  <si>
    <t>CA-2012-110947</t>
  </si>
  <si>
    <t>Yakshit Subramanian</t>
  </si>
  <si>
    <t>CA-2012-111199</t>
  </si>
  <si>
    <t>Mannat Dugar</t>
  </si>
  <si>
    <t>CA-2013-169026</t>
  </si>
  <si>
    <t>Ahana Mannan</t>
  </si>
  <si>
    <t>CA-2012-153325</t>
  </si>
  <si>
    <t>Printer</t>
  </si>
  <si>
    <t>Sara Butala</t>
  </si>
  <si>
    <t>CA-2013-159212</t>
  </si>
  <si>
    <t>Vardaniya Chad</t>
  </si>
  <si>
    <t>CA-2014-108287</t>
  </si>
  <si>
    <t>Gatik Gera</t>
  </si>
  <si>
    <t>CA-2013-159989</t>
  </si>
  <si>
    <t>Smartphone</t>
  </si>
  <si>
    <t>Nehmat Pal</t>
  </si>
  <si>
    <t>CA-2011-102673</t>
  </si>
  <si>
    <t>Kavya Krish</t>
  </si>
  <si>
    <t>CA-2011-128839</t>
  </si>
  <si>
    <t>Himmat Dhar</t>
  </si>
  <si>
    <t>CA-2011-128846</t>
  </si>
  <si>
    <t>Yuvraj Sodhi</t>
  </si>
  <si>
    <t>CA-2012-121720</t>
  </si>
  <si>
    <t>Nitya Kapadia</t>
  </si>
  <si>
    <t>CA-2013-106558</t>
  </si>
  <si>
    <t>Kanav Tailor</t>
  </si>
  <si>
    <t>CA-2011-156244</t>
  </si>
  <si>
    <t>Chirag Sodhi</t>
  </si>
  <si>
    <t>CA-2012-134719</t>
  </si>
  <si>
    <t>Nehmat Ramaswamy</t>
  </si>
  <si>
    <t>CA-2013-115504</t>
  </si>
  <si>
    <t>Ishaan Chand</t>
  </si>
  <si>
    <t>CA-2013-112697</t>
  </si>
  <si>
    <t>Delhi</t>
  </si>
  <si>
    <t>Darshit Suresh</t>
  </si>
  <si>
    <t>CA-2014-104731</t>
  </si>
  <si>
    <t>Vaibhav Samra</t>
  </si>
  <si>
    <t>CA-2011-124688</t>
  </si>
  <si>
    <t>Camera</t>
  </si>
  <si>
    <t>Gatik Kari</t>
  </si>
  <si>
    <t>CA-2014-113558</t>
  </si>
  <si>
    <t>Bhavin Som</t>
  </si>
  <si>
    <t>CA-2012-134782</t>
  </si>
  <si>
    <t>Biju Ramesh</t>
  </si>
  <si>
    <t>CA-2012-140830</t>
  </si>
  <si>
    <t>Neysa Tandon</t>
  </si>
  <si>
    <t>CA-2012-134894</t>
  </si>
  <si>
    <t>Aarush Lad</t>
  </si>
  <si>
    <t>CA-2013-165827</t>
  </si>
  <si>
    <t>Divit Bajaj</t>
  </si>
  <si>
    <t>CA-2012-119634</t>
  </si>
  <si>
    <t>Anika Ravel</t>
  </si>
  <si>
    <t>CA-2014-124597</t>
  </si>
  <si>
    <t>Jiya Biswas</t>
  </si>
  <si>
    <t>CA-2011-164749</t>
  </si>
  <si>
    <t>Indrans Bassi</t>
  </si>
  <si>
    <t>CA-2011-164910</t>
  </si>
  <si>
    <t>Kabir Zacharia</t>
  </si>
  <si>
    <t>CA-2012-148705</t>
  </si>
  <si>
    <t>CA-2014-123239</t>
  </si>
  <si>
    <t>Zeeshan Badal</t>
  </si>
  <si>
    <t>CA-2011-120768</t>
  </si>
  <si>
    <t>Zara Thaman</t>
  </si>
  <si>
    <t>CA-2014-109589</t>
  </si>
  <si>
    <t>Jhanvi Ranganathan</t>
  </si>
  <si>
    <t>CA-2014-121804</t>
  </si>
  <si>
    <t>Aaryahi Veg</t>
  </si>
  <si>
    <t>CA-2011-102988</t>
  </si>
  <si>
    <t>Jhanvi Mani</t>
  </si>
  <si>
    <t>CA-2014-121314</t>
  </si>
  <si>
    <t>Ishaan Bhasin</t>
  </si>
  <si>
    <t>CA-2012-128083</t>
  </si>
  <si>
    <t>Inaaya Divan</t>
  </si>
  <si>
    <t>CA-2012-115938</t>
  </si>
  <si>
    <t>Ahana Sabharwal</t>
  </si>
  <si>
    <t>CA-2012-131422</t>
  </si>
  <si>
    <t>Anahi Biswas</t>
  </si>
  <si>
    <t>CA-2013-157364</t>
  </si>
  <si>
    <t>Ishita Gera</t>
  </si>
  <si>
    <t>CA-2012-143532</t>
  </si>
  <si>
    <t>Samar Kaul</t>
  </si>
  <si>
    <t>CA-2013-130820</t>
  </si>
  <si>
    <t>Stuvan Sampath</t>
  </si>
  <si>
    <t>CA-2012-150560</t>
  </si>
  <si>
    <t>Abram Lata</t>
  </si>
  <si>
    <t>CA-2013-135636</t>
  </si>
  <si>
    <t>Sumer Sangha</t>
  </si>
  <si>
    <t>CA-2011-154158</t>
  </si>
  <si>
    <t>Yuvaan Shah</t>
  </si>
  <si>
    <t>CA-2013-111409</t>
  </si>
  <si>
    <t>Faiyaz Gaba</t>
  </si>
  <si>
    <t>CA-2013-111605</t>
  </si>
  <si>
    <t>Stuvan Thaker</t>
  </si>
  <si>
    <t>CA-2012-169572</t>
  </si>
  <si>
    <t>Tarini Brar</t>
  </si>
  <si>
    <t>CA-2014-119669</t>
  </si>
  <si>
    <t>Akarsh Srivastava</t>
  </si>
  <si>
    <t>CA-2013-130001</t>
  </si>
  <si>
    <t>Romil Srinivasan</t>
  </si>
  <si>
    <t>CA-2011-134551</t>
  </si>
  <si>
    <t>Damini Bora</t>
  </si>
  <si>
    <t>CA-2012-109708</t>
  </si>
  <si>
    <t>Shaan Lata</t>
  </si>
  <si>
    <t>CA-2012-122168</t>
  </si>
  <si>
    <t>CA-2014-124296</t>
  </si>
  <si>
    <t>Manikya Randhawa</t>
  </si>
  <si>
    <t>CA-2012-166975</t>
  </si>
  <si>
    <t>Ayesha Trivedi</t>
  </si>
  <si>
    <t>CA-2012-163923</t>
  </si>
  <si>
    <t>Nitya Shan</t>
  </si>
  <si>
    <t>CA-2011-133634</t>
  </si>
  <si>
    <t>Lavanya Din</t>
  </si>
  <si>
    <t>CA-2013-165470</t>
  </si>
  <si>
    <t>Inaaya Golla</t>
  </si>
  <si>
    <t>CA-2013-139689</t>
  </si>
  <si>
    <t>Madhav Jha</t>
  </si>
  <si>
    <t>CA-2012-136147</t>
  </si>
  <si>
    <t>Reyansh Chada</t>
  </si>
  <si>
    <t>CA-2013-117604</t>
  </si>
  <si>
    <t>Shaan Dey</t>
  </si>
  <si>
    <t>CA-2011-152268</t>
  </si>
  <si>
    <t>Badal Manda</t>
  </si>
  <si>
    <t>CA-2013-155670</t>
  </si>
  <si>
    <t>Uthkarsh Kala</t>
  </si>
  <si>
    <t>CA-2013-164784</t>
  </si>
  <si>
    <t>Armaan Bhalla</t>
  </si>
  <si>
    <t>CA-2013-164350</t>
  </si>
  <si>
    <t>Yuvaan Borde</t>
  </si>
  <si>
    <t>CA-2012-163237</t>
  </si>
  <si>
    <t>Anahita Handa</t>
  </si>
  <si>
    <t>CA-2013-132549</t>
  </si>
  <si>
    <t>Eshani Arya</t>
  </si>
  <si>
    <t>CA-2012-169733</t>
  </si>
  <si>
    <t>Hridaan Butala</t>
  </si>
  <si>
    <t>CA-2011-159184</t>
  </si>
  <si>
    <t>Yuvaan Cherian</t>
  </si>
  <si>
    <t>CA-2013-136483</t>
  </si>
  <si>
    <t>Ryan Andra</t>
  </si>
  <si>
    <t>CA-2013-113236</t>
  </si>
  <si>
    <t>Veer Aggarwal</t>
  </si>
  <si>
    <t>CA-2013-162236</t>
  </si>
  <si>
    <t>Vanya Sibal</t>
  </si>
  <si>
    <t>CA-2013-109911</t>
  </si>
  <si>
    <t>Trisha Bava</t>
  </si>
  <si>
    <t>CA-2013-110492</t>
  </si>
  <si>
    <t>Nishith Chand</t>
  </si>
  <si>
    <t>CA-2012-155635</t>
  </si>
  <si>
    <t>Ira Brar</t>
  </si>
  <si>
    <t>CA-2013-104276</t>
  </si>
  <si>
    <t>Shray Devan</t>
  </si>
  <si>
    <t>CA-2013-150000</t>
  </si>
  <si>
    <t>Madhav Mani</t>
  </si>
  <si>
    <t>CA-2013-113845</t>
  </si>
  <si>
    <t>Piya Iyer</t>
  </si>
  <si>
    <t>CA-2011-151967</t>
  </si>
  <si>
    <t>Himmat Singh</t>
  </si>
  <si>
    <t>CA-2011-107573</t>
  </si>
  <si>
    <t>Rhea Shanker</t>
  </si>
  <si>
    <t>CA-2014-122987</t>
  </si>
  <si>
    <t>Misha Chad</t>
  </si>
  <si>
    <t>CA-2011-125682</t>
  </si>
  <si>
    <t>Zara Kulkarni</t>
  </si>
  <si>
    <t>CA-2013-127985</t>
  </si>
  <si>
    <t>Hansh Sharaf</t>
  </si>
  <si>
    <t>CA-2012-137281</t>
  </si>
  <si>
    <t>Seher Viswanathan</t>
  </si>
  <si>
    <t>CA-2011-138296</t>
  </si>
  <si>
    <t>Hrishita Kamdar</t>
  </si>
  <si>
    <t>CA-2013-146171</t>
  </si>
  <si>
    <t>Riaan Amble</t>
  </si>
  <si>
    <t>CA-2011-136336</t>
  </si>
  <si>
    <t>Aniruddh Goda</t>
  </si>
  <si>
    <t>CA-2013-159142</t>
  </si>
  <si>
    <t>Shanaya Borde</t>
  </si>
  <si>
    <t>CA-2013-168536</t>
  </si>
  <si>
    <t>Anika Sankar</t>
  </si>
  <si>
    <t>CA-2011-158274</t>
  </si>
  <si>
    <t>Zoya Krish</t>
  </si>
  <si>
    <t>CA-2011-140165</t>
  </si>
  <si>
    <t>Myra Korpal</t>
  </si>
  <si>
    <t>CA-2012-117884</t>
  </si>
  <si>
    <t>Hazel Bains</t>
  </si>
  <si>
    <t>CA-2012-118444</t>
  </si>
  <si>
    <t>Shray Yohannan</t>
  </si>
  <si>
    <t>CA-2012-118843</t>
  </si>
  <si>
    <t>Lakshit Manne</t>
  </si>
  <si>
    <t>CA-2012-149300</t>
  </si>
  <si>
    <t>Jayant Kalita</t>
  </si>
  <si>
    <t>CA-2013-137736</t>
  </si>
  <si>
    <t>Rania Hayer</t>
  </si>
  <si>
    <t>CA-2011-156790</t>
  </si>
  <si>
    <t>Advik Sarkar</t>
  </si>
  <si>
    <t>CA-2011-134621</t>
  </si>
  <si>
    <t>Ritvik Hayer</t>
  </si>
  <si>
    <t>CA-2011-106054</t>
  </si>
  <si>
    <t>Advik Swaminathan</t>
  </si>
  <si>
    <t>CA-2014-122154</t>
  </si>
  <si>
    <t>Umang Krishnan</t>
  </si>
  <si>
    <t>CA-2014-103009</t>
  </si>
  <si>
    <t>Drishya Dhawan</t>
  </si>
  <si>
    <t>CA-2012-113628</t>
  </si>
  <si>
    <t>Arnav Roy</t>
  </si>
  <si>
    <t>CA-2012-114503</t>
  </si>
  <si>
    <t>Biju Chacko</t>
  </si>
  <si>
    <t>CA-2012-104941</t>
  </si>
  <si>
    <t>Samar Hans</t>
  </si>
  <si>
    <t>CA-2011-163013</t>
  </si>
  <si>
    <t>Sara Koshy</t>
  </si>
  <si>
    <t>CA-2014-103212</t>
  </si>
  <si>
    <t>Taran Arya</t>
  </si>
  <si>
    <t>CA-2012-129098</t>
  </si>
  <si>
    <t>Vaibhav Dada</t>
  </si>
  <si>
    <t>CA-2012-130218</t>
  </si>
  <si>
    <t>Manjari Kannan</t>
  </si>
  <si>
    <t>CA-2013-113831</t>
  </si>
  <si>
    <t>CA-2014-114055</t>
  </si>
  <si>
    <t>Parinaaz Brar</t>
  </si>
  <si>
    <t>CA-2013-162159</t>
  </si>
  <si>
    <t>Rania Sawhney</t>
  </si>
  <si>
    <t>CA-2011-114321</t>
  </si>
  <si>
    <t>Mishti Shah</t>
  </si>
  <si>
    <t>CA-2014-106537</t>
  </si>
  <si>
    <t>Kavya Bawa</t>
  </si>
  <si>
    <t>CA-2013-123533</t>
  </si>
  <si>
    <t>Madhup Hayre</t>
  </si>
  <si>
    <t>CA-2013-123617</t>
  </si>
  <si>
    <t>CA-2014-104864</t>
  </si>
  <si>
    <t>Shalv Gara</t>
  </si>
  <si>
    <t>CA-2013-118178</t>
  </si>
  <si>
    <t>Akarsh Sarma</t>
  </si>
  <si>
    <t>CA-2013-131065</t>
  </si>
  <si>
    <t>Reyansh Chaudhari</t>
  </si>
  <si>
    <t>CA-2013-131968</t>
  </si>
  <si>
    <t>Suhana Raja</t>
  </si>
  <si>
    <t>CA-2013-154060</t>
  </si>
  <si>
    <t>Samar Thakkar</t>
  </si>
  <si>
    <t>CA-2013-154690</t>
  </si>
  <si>
    <t>Suhana Luthra</t>
  </si>
  <si>
    <t>CA-2013-106894</t>
  </si>
  <si>
    <t>Jivin Mander</t>
  </si>
  <si>
    <t>CA-2013-165316</t>
  </si>
  <si>
    <t>Suhana Randhawa</t>
  </si>
  <si>
    <t>CA-2012-103135</t>
  </si>
  <si>
    <t>CA-2012-103793</t>
  </si>
  <si>
    <t>CA-2014-102204</t>
  </si>
  <si>
    <t>Riaan Rama</t>
  </si>
  <si>
    <t>CA-2013-122518</t>
  </si>
  <si>
    <t>Tarini Rajan</t>
  </si>
  <si>
    <t>CA-2012-156328</t>
  </si>
  <si>
    <t>Tarini Hans</t>
  </si>
  <si>
    <t>CA-2012-153535</t>
  </si>
  <si>
    <t>Saira Shah</t>
  </si>
  <si>
    <t>CA-2011-161634</t>
  </si>
  <si>
    <t>Purab Dora</t>
  </si>
  <si>
    <t>CA-2011-165806</t>
  </si>
  <si>
    <t>Adira Sachdev</t>
  </si>
  <si>
    <t>CA-2013-133368</t>
  </si>
  <si>
    <t>Samiha Dube</t>
  </si>
  <si>
    <t>CA-2012-100888</t>
  </si>
  <si>
    <t>CA-2014-103065</t>
  </si>
  <si>
    <t>CA-2014-116855</t>
  </si>
  <si>
    <t>Hazel Bahri</t>
  </si>
  <si>
    <t>CA-2014-116939</t>
  </si>
  <si>
    <t>Madhav Handa</t>
  </si>
  <si>
    <t>CA-2012-141565</t>
  </si>
  <si>
    <t>Jivin Ghose</t>
  </si>
  <si>
    <t>CA-2012-147011</t>
  </si>
  <si>
    <t>Samaira Ben</t>
  </si>
  <si>
    <t>CA-2011-117016</t>
  </si>
  <si>
    <t>Ira Chopra</t>
  </si>
  <si>
    <t>CA-2013-146143</t>
  </si>
  <si>
    <t>Shlok Salvi</t>
  </si>
  <si>
    <t>CA-2013-146150</t>
  </si>
  <si>
    <t>Piya Kulkarni</t>
  </si>
  <si>
    <t>CA-2012-150308</t>
  </si>
  <si>
    <t>CA-2012-165624</t>
  </si>
  <si>
    <t>Indrans Saran</t>
  </si>
  <si>
    <t>CA-2013-157763</t>
  </si>
  <si>
    <t>Sara Gala</t>
  </si>
  <si>
    <t>CA-2011-129091</t>
  </si>
  <si>
    <t>Shalv Walia</t>
  </si>
  <si>
    <t>CA-2013-101469</t>
  </si>
  <si>
    <t>Onkar Gandhi</t>
  </si>
  <si>
    <t>CA-2013-130442</t>
  </si>
  <si>
    <t>Lakshay Gaba</t>
  </si>
  <si>
    <t>CA-2011-160094</t>
  </si>
  <si>
    <t>Aarush Gopal</t>
  </si>
  <si>
    <t>CA-2011-160276</t>
  </si>
  <si>
    <t>Ahana Sunder</t>
  </si>
  <si>
    <t>CA-2013-102498</t>
  </si>
  <si>
    <t>CA-2014-122056</t>
  </si>
  <si>
    <t>Manjari Balakrishnan</t>
  </si>
  <si>
    <t>CA-2011-142727</t>
  </si>
  <si>
    <t>Vedika Srinivasan</t>
  </si>
  <si>
    <t>CA-2011-127488</t>
  </si>
  <si>
    <t>Piya Vohra</t>
  </si>
  <si>
    <t>CA-2013-157588</t>
  </si>
  <si>
    <t>Neelofar Aurora</t>
  </si>
  <si>
    <t>CA-2011-112718</t>
  </si>
  <si>
    <t>Dhruv Gulati</t>
  </si>
  <si>
    <t>CA-2014-124898</t>
  </si>
  <si>
    <t>Vanya Dutta</t>
  </si>
  <si>
    <t>CA-2011-101266</t>
  </si>
  <si>
    <t>Mohanlal Sachar</t>
  </si>
  <si>
    <t>CA-2014-119004</t>
  </si>
  <si>
    <t>Trisha Sawhney</t>
  </si>
  <si>
    <t>CA-2013-157245</t>
  </si>
  <si>
    <t>CA-2014-124828</t>
  </si>
  <si>
    <t>Trisha Deep</t>
  </si>
  <si>
    <t>CA-2013-142097</t>
  </si>
  <si>
    <t>Sana Loke</t>
  </si>
  <si>
    <t>CA-2014-107209</t>
  </si>
  <si>
    <t>Kiara Balakrishnan</t>
  </si>
  <si>
    <t>CA-2013-142370</t>
  </si>
  <si>
    <t>Bhavin Comar</t>
  </si>
  <si>
    <t>CA-2014-107461</t>
  </si>
  <si>
    <t>Vaibhav Talwar</t>
  </si>
  <si>
    <t>CA-2013-142895</t>
  </si>
  <si>
    <t>CA-2014-108035</t>
  </si>
  <si>
    <t>Anika Krishna</t>
  </si>
  <si>
    <t>CA-2013-118934</t>
  </si>
  <si>
    <t>Nitara Rana</t>
  </si>
  <si>
    <t>CA-2011-127614</t>
  </si>
  <si>
    <t>Misha Atwal</t>
  </si>
  <si>
    <t>CA-2011-149958</t>
  </si>
  <si>
    <t>Sahil Ranganathan</t>
  </si>
  <si>
    <t>CA-2011-151953</t>
  </si>
  <si>
    <t>Piya Loyal</t>
  </si>
  <si>
    <t>CA-2014-121818</t>
  </si>
  <si>
    <t>Amani Dara</t>
  </si>
  <si>
    <t>CA-2013-162901</t>
  </si>
  <si>
    <t>CA-2014-102610</t>
  </si>
  <si>
    <t>Jivika Ravi</t>
  </si>
  <si>
    <t>CA-2011-100895</t>
  </si>
  <si>
    <t>Mahika Lala</t>
  </si>
  <si>
    <t>CA-2014-101042</t>
  </si>
  <si>
    <t>Vidur Aggarwal</t>
  </si>
  <si>
    <t>CA-2013-109722</t>
  </si>
  <si>
    <t>Jayant Tak</t>
  </si>
  <si>
    <t>CA-2013-109743</t>
  </si>
  <si>
    <t>Jayesh Sarin</t>
  </si>
  <si>
    <t>CA-2013-159891</t>
  </si>
  <si>
    <t>Yuvaan Trivedi</t>
  </si>
  <si>
    <t>CA-2013-139269</t>
  </si>
  <si>
    <t>Kimaya Johal</t>
  </si>
  <si>
    <t>CA-2013-104157</t>
  </si>
  <si>
    <t>Samarth Kalita</t>
  </si>
  <si>
    <t>CA-2011-115357</t>
  </si>
  <si>
    <t>CA-2014-110926</t>
  </si>
  <si>
    <t>Tushar Setty</t>
  </si>
  <si>
    <t>CA-2011-137911</t>
  </si>
  <si>
    <t>Dhanush Lall</t>
  </si>
  <si>
    <t>CA-2014-115070</t>
  </si>
  <si>
    <t>CA-2014-115448</t>
  </si>
  <si>
    <t>CA-2014-115882</t>
  </si>
  <si>
    <t>Kanav Chhabra</t>
  </si>
  <si>
    <t>CA-2013-118626</t>
  </si>
  <si>
    <t>Aarna Kota</t>
  </si>
  <si>
    <t>CA-2012-128139</t>
  </si>
  <si>
    <t>CA-2014-112774</t>
  </si>
  <si>
    <t>Raghav Kar</t>
  </si>
  <si>
    <t>CA-2011-165764</t>
  </si>
  <si>
    <t>Mehul Bedi</t>
  </si>
  <si>
    <t>CA-2011-143840</t>
  </si>
  <si>
    <t>Priyansh Kamdar</t>
  </si>
  <si>
    <t>CA-2012-104115</t>
  </si>
  <si>
    <t>CA-2013-112277</t>
  </si>
  <si>
    <t>Myra Singhal</t>
  </si>
  <si>
    <t>CA-2012-107678</t>
  </si>
  <si>
    <t>Saanvi Mand</t>
  </si>
  <si>
    <t>CA-2013-124772</t>
  </si>
  <si>
    <t>Bhavin Dubey</t>
  </si>
  <si>
    <t>CA-2012-112375</t>
  </si>
  <si>
    <t>Nitya Sathe</t>
  </si>
  <si>
    <t>CA-2012-102778</t>
  </si>
  <si>
    <t>Dhanuk Taneja</t>
  </si>
  <si>
    <t>CA-2012-168459</t>
  </si>
  <si>
    <t>Nitara Vala</t>
  </si>
  <si>
    <t>CA-2011-167850</t>
  </si>
  <si>
    <t>Urvi Sha</t>
  </si>
  <si>
    <t>CA-2011-169684</t>
  </si>
  <si>
    <t>Riaan Kashyap</t>
  </si>
  <si>
    <t>CA-2011-152849</t>
  </si>
  <si>
    <t>Shalv Dass</t>
  </si>
  <si>
    <t>CA-2011-153087</t>
  </si>
  <si>
    <t>Kaira Bal</t>
  </si>
  <si>
    <t>CA-2012-104038</t>
  </si>
  <si>
    <t>Sana Cheema</t>
  </si>
  <si>
    <t>CA-2011-153927</t>
  </si>
  <si>
    <t>Abram Choudhry</t>
  </si>
  <si>
    <t>CA-2013-133872</t>
  </si>
  <si>
    <t>Vidur Lall</t>
  </si>
  <si>
    <t>CA-2014-101210</t>
  </si>
  <si>
    <t>Manjari Shankar</t>
  </si>
  <si>
    <t>CA-2013-113733</t>
  </si>
  <si>
    <t>Samarth Chand</t>
  </si>
  <si>
    <t>CA-2011-109232</t>
  </si>
  <si>
    <t>Taran Hayer</t>
  </si>
  <si>
    <t>CA-2013-125843</t>
  </si>
  <si>
    <t>Mehul Bandi</t>
  </si>
  <si>
    <t>CA-2013-127208</t>
  </si>
  <si>
    <t>Miraya Sarraf</t>
  </si>
  <si>
    <t>CA-2012-108259</t>
  </si>
  <si>
    <t>Jivika Dass</t>
  </si>
  <si>
    <t>CA-2013-119823</t>
  </si>
  <si>
    <t>Kavya Golla</t>
  </si>
  <si>
    <t>CA-2011-158771</t>
  </si>
  <si>
    <t>Nirvi Seth</t>
  </si>
  <si>
    <t>CA-2013-147368</t>
  </si>
  <si>
    <t>Aarav Tiwari</t>
  </si>
  <si>
    <t>CA-2013-169103</t>
  </si>
  <si>
    <t>Raunak Singh</t>
  </si>
  <si>
    <t>CA-2011-117345</t>
  </si>
  <si>
    <t>Fateh Ahuja</t>
  </si>
  <si>
    <t>CA-2013-113292</t>
  </si>
  <si>
    <t>Jayan Karan</t>
  </si>
  <si>
    <t>CA-2012-153626</t>
  </si>
  <si>
    <t>Mehul Gara</t>
  </si>
  <si>
    <t>CA-2013-112676</t>
  </si>
  <si>
    <t>Vritika Sawhney</t>
  </si>
  <si>
    <t>CA-2014-102309</t>
  </si>
  <si>
    <t>Advika Ravel</t>
  </si>
  <si>
    <t>CA-2012-162201</t>
  </si>
  <si>
    <t>Parinaaz Kota</t>
  </si>
  <si>
    <t>CA-2012-147879</t>
  </si>
  <si>
    <t>Taimur Rau</t>
  </si>
  <si>
    <t>CA-2013-105256</t>
  </si>
  <si>
    <t>Yakshit Sehgal</t>
  </si>
  <si>
    <t>CA-2013-100307</t>
  </si>
  <si>
    <t>Hazel Swamy</t>
  </si>
  <si>
    <t>CA-2011-162775</t>
  </si>
  <si>
    <t>Neelofar Mani</t>
  </si>
  <si>
    <t>CA-2011-160773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</si>
</sst>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₹&quot;\ #,##0"/>
  </numFmts>
  <fonts count="3" x14ac:knownFonts="1"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&quot;₹&quot;\ 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[$-F800]dddd\,\ mmmm\ dd\,\ 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1"/>
        <scheme val="none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682049-E70E-4C0C-A82E-1CC286C9F3FF}" name="Table2" displayName="Table2" ref="A1:J245" totalsRowShown="0" headerRowDxfId="11" dataDxfId="10">
  <autoFilter ref="A1:J245" xr:uid="{36722A3C-AF57-4386-9A7A-AED056329DB8}"/>
  <sortState xmlns:xlrd2="http://schemas.microsoft.com/office/spreadsheetml/2017/richdata2" ref="A2:J245">
    <sortCondition ref="E1:E245"/>
  </sortState>
  <tableColumns count="10">
    <tableColumn id="1" xr3:uid="{01B5EA90-8DD9-4BBB-BF58-B9CF0CE8DECF}" name="Full Name" dataDxfId="9"/>
    <tableColumn id="2" xr3:uid="{98A4A6BB-D5A7-465C-B0C0-7C93A063B5AA}" name="order I'D" dataDxfId="8"/>
    <tableColumn id="10" xr3:uid="{0B0674FA-7B33-446C-AD3A-2AD9411BC21F}" name="Purchase Year" dataDxfId="7">
      <calculatedColumnFormula>YEAR(E2)</calculatedColumnFormula>
    </tableColumn>
    <tableColumn id="9" xr3:uid="{4DC68258-FE1A-4853-A784-73DD364B7ED5}" name="Purchase Month" dataDxfId="6">
      <calculatedColumnFormula>MONTH(Table2[[#This Row],[Purchase Date]])</calculatedColumnFormula>
    </tableColumn>
    <tableColumn id="3" xr3:uid="{556CE523-C893-452F-8492-AC6AC6C2EC4B}" name="Purchase Date" dataDxfId="5"/>
    <tableColumn id="4" xr3:uid="{70376CA8-2FFC-466C-A0CE-A10A2841BCDE}" name="Product Purchased" dataDxfId="4"/>
    <tableColumn id="5" xr3:uid="{5648FBC7-329C-4C75-9F0E-A771E3840D0E}" name="Amount Paid" dataDxfId="3"/>
    <tableColumn id="6" xr3:uid="{9830EB11-36C4-4932-B449-9860D546F996}" name="Payment Status" dataDxfId="2"/>
    <tableColumn id="7" xr3:uid="{2586B9B3-F50F-4C28-8F38-5E57D34086E1}" name="City" dataDxfId="1"/>
    <tableColumn id="8" xr3:uid="{2EFFDF19-71EC-41D5-B264-DC2454546359}" name="Delivery Statu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7960-5E0D-456C-93B3-C8232A080BB6}">
  <sheetPr>
    <tabColor rgb="FF00B050"/>
  </sheetPr>
  <dimension ref="A1:J245"/>
  <sheetViews>
    <sheetView tabSelected="1" topLeftCell="A223" zoomScale="107" zoomScaleNormal="107" workbookViewId="0">
      <selection activeCell="C230" sqref="C230"/>
    </sheetView>
  </sheetViews>
  <sheetFormatPr defaultRowHeight="14.4" x14ac:dyDescent="0.3"/>
  <cols>
    <col min="1" max="1" width="20.21875" bestFit="1" customWidth="1"/>
    <col min="2" max="2" width="16.77734375" bestFit="1" customWidth="1"/>
    <col min="3" max="3" width="18.33203125" bestFit="1" customWidth="1"/>
    <col min="4" max="4" width="20.44140625" customWidth="1"/>
    <col min="5" max="5" width="19.21875" style="7" bestFit="1" customWidth="1"/>
    <col min="6" max="6" width="23.21875" bestFit="1" customWidth="1"/>
    <col min="7" max="7" width="17.5546875" bestFit="1" customWidth="1"/>
    <col min="8" max="8" width="20.21875" bestFit="1" customWidth="1"/>
    <col min="9" max="9" width="11.44140625" bestFit="1" customWidth="1"/>
    <col min="10" max="10" width="20" bestFit="1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</row>
    <row r="2" spans="1:10" ht="15.6" x14ac:dyDescent="0.3">
      <c r="A2" s="4" t="s">
        <v>10</v>
      </c>
      <c r="B2" s="4" t="s">
        <v>11</v>
      </c>
      <c r="C2" s="4">
        <f>YEAR(E2)</f>
        <v>2014</v>
      </c>
      <c r="D2" s="4">
        <f>MONTH(Table2[[#This Row],[Purchase Date]])</f>
        <v>8</v>
      </c>
      <c r="E2" s="5">
        <v>41868</v>
      </c>
      <c r="F2" s="4" t="s">
        <v>12</v>
      </c>
      <c r="G2" s="6">
        <v>1320.34</v>
      </c>
      <c r="H2" s="4" t="s">
        <v>13</v>
      </c>
      <c r="I2" s="4" t="s">
        <v>14</v>
      </c>
      <c r="J2" s="4" t="s">
        <v>15</v>
      </c>
    </row>
    <row r="3" spans="1:10" ht="15.6" x14ac:dyDescent="0.3">
      <c r="A3" s="4" t="s">
        <v>16</v>
      </c>
      <c r="B3" s="4" t="s">
        <v>17</v>
      </c>
      <c r="C3" s="4">
        <f t="shared" ref="C3:C66" si="0">YEAR(E3)</f>
        <v>2014</v>
      </c>
      <c r="D3" s="4">
        <f>MONTH(Table2[[#This Row],[Purchase Date]])</f>
        <v>9</v>
      </c>
      <c r="E3" s="5">
        <v>41888</v>
      </c>
      <c r="F3" s="4" t="s">
        <v>18</v>
      </c>
      <c r="G3" s="6">
        <v>738.76</v>
      </c>
      <c r="H3" s="4" t="s">
        <v>19</v>
      </c>
      <c r="I3" s="4" t="s">
        <v>20</v>
      </c>
      <c r="J3" s="4" t="s">
        <v>21</v>
      </c>
    </row>
    <row r="4" spans="1:10" ht="15.6" x14ac:dyDescent="0.3">
      <c r="A4" s="4" t="s">
        <v>22</v>
      </c>
      <c r="B4" s="4" t="s">
        <v>23</v>
      </c>
      <c r="C4" s="4">
        <f t="shared" si="0"/>
        <v>2014</v>
      </c>
      <c r="D4" s="4">
        <f>MONTH(Table2[[#This Row],[Purchase Date]])</f>
        <v>9</v>
      </c>
      <c r="E4" s="5">
        <v>41888</v>
      </c>
      <c r="F4" s="4" t="s">
        <v>24</v>
      </c>
      <c r="G4" s="6">
        <v>825.71</v>
      </c>
      <c r="H4" s="4" t="s">
        <v>19</v>
      </c>
      <c r="I4" s="4" t="s">
        <v>25</v>
      </c>
      <c r="J4" s="4" t="s">
        <v>15</v>
      </c>
    </row>
    <row r="5" spans="1:10" ht="15.6" x14ac:dyDescent="0.3">
      <c r="A5" s="4" t="s">
        <v>26</v>
      </c>
      <c r="B5" s="4" t="s">
        <v>27</v>
      </c>
      <c r="C5" s="4">
        <f t="shared" si="0"/>
        <v>2014</v>
      </c>
      <c r="D5" s="4">
        <f>MONTH(Table2[[#This Row],[Purchase Date]])</f>
        <v>9</v>
      </c>
      <c r="E5" s="5">
        <v>41889</v>
      </c>
      <c r="F5" s="4" t="s">
        <v>28</v>
      </c>
      <c r="G5" s="6">
        <v>668.37</v>
      </c>
      <c r="H5" s="4" t="s">
        <v>19</v>
      </c>
      <c r="I5" s="4" t="s">
        <v>14</v>
      </c>
      <c r="J5" s="4" t="s">
        <v>29</v>
      </c>
    </row>
    <row r="6" spans="1:10" ht="15.6" x14ac:dyDescent="0.3">
      <c r="A6" s="4" t="s">
        <v>30</v>
      </c>
      <c r="B6" s="4" t="s">
        <v>31</v>
      </c>
      <c r="C6" s="4">
        <f t="shared" si="0"/>
        <v>2014</v>
      </c>
      <c r="D6" s="4">
        <f>MONTH(Table2[[#This Row],[Purchase Date]])</f>
        <v>10</v>
      </c>
      <c r="E6" s="5">
        <v>41917</v>
      </c>
      <c r="F6" s="4" t="s">
        <v>24</v>
      </c>
      <c r="G6" s="6">
        <v>510.37</v>
      </c>
      <c r="H6" s="4" t="s">
        <v>19</v>
      </c>
      <c r="I6" s="4" t="s">
        <v>32</v>
      </c>
      <c r="J6" s="4" t="s">
        <v>21</v>
      </c>
    </row>
    <row r="7" spans="1:10" ht="15.6" x14ac:dyDescent="0.3">
      <c r="A7" s="4" t="s">
        <v>33</v>
      </c>
      <c r="B7" s="4" t="s">
        <v>34</v>
      </c>
      <c r="C7" s="4">
        <f t="shared" si="0"/>
        <v>2014</v>
      </c>
      <c r="D7" s="4">
        <f>MONTH(Table2[[#This Row],[Purchase Date]])</f>
        <v>11</v>
      </c>
      <c r="E7" s="5">
        <v>41963</v>
      </c>
      <c r="F7" s="4" t="s">
        <v>35</v>
      </c>
      <c r="G7" s="6">
        <v>76.31</v>
      </c>
      <c r="H7" s="4" t="s">
        <v>13</v>
      </c>
      <c r="I7" s="4" t="s">
        <v>36</v>
      </c>
      <c r="J7" s="4" t="s">
        <v>29</v>
      </c>
    </row>
    <row r="8" spans="1:10" ht="15.6" x14ac:dyDescent="0.3">
      <c r="A8" s="4" t="s">
        <v>37</v>
      </c>
      <c r="B8" s="4" t="s">
        <v>38</v>
      </c>
      <c r="C8" s="4">
        <f t="shared" si="0"/>
        <v>2014</v>
      </c>
      <c r="D8" s="4">
        <f>MONTH(Table2[[#This Row],[Purchase Date]])</f>
        <v>11</v>
      </c>
      <c r="E8" s="5">
        <v>41969</v>
      </c>
      <c r="F8" s="4" t="s">
        <v>24</v>
      </c>
      <c r="G8" s="6">
        <v>521.66</v>
      </c>
      <c r="H8" s="4" t="s">
        <v>13</v>
      </c>
      <c r="I8" s="4" t="s">
        <v>39</v>
      </c>
      <c r="J8" s="4" t="s">
        <v>15</v>
      </c>
    </row>
    <row r="9" spans="1:10" ht="15.6" x14ac:dyDescent="0.3">
      <c r="A9" s="4" t="s">
        <v>40</v>
      </c>
      <c r="B9" s="4" t="s">
        <v>41</v>
      </c>
      <c r="C9" s="4">
        <f t="shared" si="0"/>
        <v>2015</v>
      </c>
      <c r="D9" s="4">
        <f>MONTH(Table2[[#This Row],[Purchase Date]])</f>
        <v>1</v>
      </c>
      <c r="E9" s="5">
        <v>42022</v>
      </c>
      <c r="F9" s="4" t="s">
        <v>24</v>
      </c>
      <c r="G9" s="6">
        <v>420.84</v>
      </c>
      <c r="H9" s="4" t="s">
        <v>13</v>
      </c>
      <c r="I9" s="4" t="s">
        <v>25</v>
      </c>
      <c r="J9" s="4" t="s">
        <v>15</v>
      </c>
    </row>
    <row r="10" spans="1:10" ht="15.6" x14ac:dyDescent="0.3">
      <c r="A10" s="4" t="s">
        <v>42</v>
      </c>
      <c r="B10" s="4" t="s">
        <v>43</v>
      </c>
      <c r="C10" s="4">
        <f t="shared" si="0"/>
        <v>2015</v>
      </c>
      <c r="D10" s="4">
        <f>MONTH(Table2[[#This Row],[Purchase Date]])</f>
        <v>2</v>
      </c>
      <c r="E10" s="5">
        <v>42037</v>
      </c>
      <c r="F10" s="4" t="s">
        <v>24</v>
      </c>
      <c r="G10" s="6">
        <v>1103.28</v>
      </c>
      <c r="H10" s="4" t="s">
        <v>13</v>
      </c>
      <c r="I10" s="4" t="s">
        <v>32</v>
      </c>
      <c r="J10" s="4" t="s">
        <v>21</v>
      </c>
    </row>
    <row r="11" spans="1:10" ht="15.6" x14ac:dyDescent="0.3">
      <c r="A11" s="4" t="s">
        <v>44</v>
      </c>
      <c r="B11" s="4" t="s">
        <v>45</v>
      </c>
      <c r="C11" s="4">
        <f t="shared" si="0"/>
        <v>2015</v>
      </c>
      <c r="D11" s="4">
        <f>MONTH(Table2[[#This Row],[Purchase Date]])</f>
        <v>2</v>
      </c>
      <c r="E11" s="5">
        <v>42050</v>
      </c>
      <c r="F11" s="4" t="s">
        <v>18</v>
      </c>
      <c r="G11" s="6">
        <v>601.53</v>
      </c>
      <c r="H11" s="4" t="s">
        <v>46</v>
      </c>
      <c r="I11" s="4" t="s">
        <v>47</v>
      </c>
      <c r="J11" s="4" t="s">
        <v>29</v>
      </c>
    </row>
    <row r="12" spans="1:10" ht="15.6" x14ac:dyDescent="0.3">
      <c r="A12" s="4" t="s">
        <v>48</v>
      </c>
      <c r="B12" s="4" t="s">
        <v>49</v>
      </c>
      <c r="C12" s="4">
        <f t="shared" si="0"/>
        <v>2015</v>
      </c>
      <c r="D12" s="4">
        <f>MONTH(Table2[[#This Row],[Purchase Date]])</f>
        <v>3</v>
      </c>
      <c r="E12" s="5">
        <v>42071</v>
      </c>
      <c r="F12" s="4" t="s">
        <v>35</v>
      </c>
      <c r="G12" s="6">
        <v>130.07</v>
      </c>
      <c r="H12" s="4" t="s">
        <v>46</v>
      </c>
      <c r="I12" s="4" t="s">
        <v>20</v>
      </c>
      <c r="J12" s="4" t="s">
        <v>15</v>
      </c>
    </row>
    <row r="13" spans="1:10" ht="15.6" x14ac:dyDescent="0.3">
      <c r="A13" s="4" t="s">
        <v>50</v>
      </c>
      <c r="B13" s="4" t="s">
        <v>51</v>
      </c>
      <c r="C13" s="4">
        <f t="shared" si="0"/>
        <v>2015</v>
      </c>
      <c r="D13" s="4">
        <f>MONTH(Table2[[#This Row],[Purchase Date]])</f>
        <v>6</v>
      </c>
      <c r="E13" s="5">
        <v>42170</v>
      </c>
      <c r="F13" s="4" t="s">
        <v>52</v>
      </c>
      <c r="G13" s="6">
        <v>1726.07</v>
      </c>
      <c r="H13" s="4" t="s">
        <v>13</v>
      </c>
      <c r="I13" s="4" t="s">
        <v>53</v>
      </c>
      <c r="J13" s="4" t="s">
        <v>15</v>
      </c>
    </row>
    <row r="14" spans="1:10" ht="15.6" x14ac:dyDescent="0.3">
      <c r="A14" s="4" t="s">
        <v>54</v>
      </c>
      <c r="B14" s="4" t="s">
        <v>55</v>
      </c>
      <c r="C14" s="4">
        <f t="shared" si="0"/>
        <v>2015</v>
      </c>
      <c r="D14" s="4">
        <f>MONTH(Table2[[#This Row],[Purchase Date]])</f>
        <v>6</v>
      </c>
      <c r="E14" s="5">
        <v>42171</v>
      </c>
      <c r="F14" s="4" t="s">
        <v>35</v>
      </c>
      <c r="G14" s="6">
        <v>1510.37</v>
      </c>
      <c r="H14" s="4" t="s">
        <v>19</v>
      </c>
      <c r="I14" s="4" t="s">
        <v>39</v>
      </c>
      <c r="J14" s="4" t="s">
        <v>15</v>
      </c>
    </row>
    <row r="15" spans="1:10" ht="15.6" x14ac:dyDescent="0.3">
      <c r="A15" s="4" t="s">
        <v>56</v>
      </c>
      <c r="B15" s="4" t="s">
        <v>57</v>
      </c>
      <c r="C15" s="4">
        <f t="shared" si="0"/>
        <v>2015</v>
      </c>
      <c r="D15" s="4">
        <f>MONTH(Table2[[#This Row],[Purchase Date]])</f>
        <v>6</v>
      </c>
      <c r="E15" s="5">
        <v>42180</v>
      </c>
      <c r="F15" s="4" t="s">
        <v>18</v>
      </c>
      <c r="G15" s="6">
        <v>1305.5899999999999</v>
      </c>
      <c r="H15" s="4" t="s">
        <v>13</v>
      </c>
      <c r="I15" s="4" t="s">
        <v>14</v>
      </c>
      <c r="J15" s="4" t="s">
        <v>29</v>
      </c>
    </row>
    <row r="16" spans="1:10" ht="15.6" x14ac:dyDescent="0.3">
      <c r="A16" s="4" t="s">
        <v>58</v>
      </c>
      <c r="B16" s="4" t="s">
        <v>59</v>
      </c>
      <c r="C16" s="4">
        <f t="shared" si="0"/>
        <v>2015</v>
      </c>
      <c r="D16" s="4">
        <f>MONTH(Table2[[#This Row],[Purchase Date]])</f>
        <v>7</v>
      </c>
      <c r="E16" s="5">
        <v>42189</v>
      </c>
      <c r="F16" s="4" t="s">
        <v>35</v>
      </c>
      <c r="G16" s="6">
        <v>347.05</v>
      </c>
      <c r="H16" s="4" t="s">
        <v>13</v>
      </c>
      <c r="I16" s="4" t="s">
        <v>39</v>
      </c>
      <c r="J16" s="4" t="s">
        <v>15</v>
      </c>
    </row>
    <row r="17" spans="1:10" ht="15.6" x14ac:dyDescent="0.3">
      <c r="A17" s="4" t="s">
        <v>60</v>
      </c>
      <c r="B17" s="4" t="s">
        <v>61</v>
      </c>
      <c r="C17" s="4">
        <f t="shared" si="0"/>
        <v>2015</v>
      </c>
      <c r="D17" s="4">
        <f>MONTH(Table2[[#This Row],[Purchase Date]])</f>
        <v>7</v>
      </c>
      <c r="E17" s="5">
        <v>42190</v>
      </c>
      <c r="F17" s="4" t="s">
        <v>35</v>
      </c>
      <c r="G17" s="6">
        <v>1201.47</v>
      </c>
      <c r="H17" s="4" t="s">
        <v>13</v>
      </c>
      <c r="I17" s="4" t="s">
        <v>32</v>
      </c>
      <c r="J17" s="4" t="s">
        <v>21</v>
      </c>
    </row>
    <row r="18" spans="1:10" ht="15.6" x14ac:dyDescent="0.3">
      <c r="A18" s="4" t="s">
        <v>62</v>
      </c>
      <c r="B18" s="4" t="s">
        <v>63</v>
      </c>
      <c r="C18" s="4">
        <f t="shared" si="0"/>
        <v>2015</v>
      </c>
      <c r="D18" s="4">
        <f>MONTH(Table2[[#This Row],[Purchase Date]])</f>
        <v>7</v>
      </c>
      <c r="E18" s="5">
        <v>42190</v>
      </c>
      <c r="F18" s="4" t="s">
        <v>28</v>
      </c>
      <c r="G18" s="6">
        <v>1066.98</v>
      </c>
      <c r="H18" s="4" t="s">
        <v>13</v>
      </c>
      <c r="I18" s="4" t="s">
        <v>64</v>
      </c>
      <c r="J18" s="4" t="s">
        <v>15</v>
      </c>
    </row>
    <row r="19" spans="1:10" ht="15.6" x14ac:dyDescent="0.3">
      <c r="A19" s="4" t="s">
        <v>65</v>
      </c>
      <c r="B19" s="4" t="s">
        <v>66</v>
      </c>
      <c r="C19" s="4">
        <f t="shared" si="0"/>
        <v>2015</v>
      </c>
      <c r="D19" s="4">
        <f>MONTH(Table2[[#This Row],[Purchase Date]])</f>
        <v>7</v>
      </c>
      <c r="E19" s="5">
        <v>42197</v>
      </c>
      <c r="F19" s="4" t="s">
        <v>18</v>
      </c>
      <c r="G19" s="6">
        <v>1556.99</v>
      </c>
      <c r="H19" s="4" t="s">
        <v>19</v>
      </c>
      <c r="I19" s="4" t="s">
        <v>64</v>
      </c>
      <c r="J19" s="4" t="s">
        <v>29</v>
      </c>
    </row>
    <row r="20" spans="1:10" ht="15.6" x14ac:dyDescent="0.3">
      <c r="A20" s="4" t="s">
        <v>67</v>
      </c>
      <c r="B20" s="4" t="s">
        <v>68</v>
      </c>
      <c r="C20" s="4">
        <f t="shared" si="0"/>
        <v>2015</v>
      </c>
      <c r="D20" s="4">
        <f>MONTH(Table2[[#This Row],[Purchase Date]])</f>
        <v>8</v>
      </c>
      <c r="E20" s="5">
        <v>42227</v>
      </c>
      <c r="F20" s="4" t="s">
        <v>69</v>
      </c>
      <c r="G20" s="6">
        <v>774.69</v>
      </c>
      <c r="H20" s="4" t="s">
        <v>13</v>
      </c>
      <c r="I20" s="4" t="s">
        <v>47</v>
      </c>
      <c r="J20" s="4" t="s">
        <v>15</v>
      </c>
    </row>
    <row r="21" spans="1:10" ht="15.6" x14ac:dyDescent="0.3">
      <c r="A21" s="4" t="s">
        <v>70</v>
      </c>
      <c r="B21" s="4" t="s">
        <v>71</v>
      </c>
      <c r="C21" s="4">
        <f t="shared" si="0"/>
        <v>2015</v>
      </c>
      <c r="D21" s="4">
        <f>MONTH(Table2[[#This Row],[Purchase Date]])</f>
        <v>9</v>
      </c>
      <c r="E21" s="5">
        <v>42262</v>
      </c>
      <c r="F21" s="4" t="s">
        <v>69</v>
      </c>
      <c r="G21" s="6">
        <v>1870.18</v>
      </c>
      <c r="H21" s="4" t="s">
        <v>46</v>
      </c>
      <c r="I21" s="4" t="s">
        <v>14</v>
      </c>
      <c r="J21" s="4" t="s">
        <v>15</v>
      </c>
    </row>
    <row r="22" spans="1:10" ht="15.6" x14ac:dyDescent="0.3">
      <c r="A22" s="4" t="s">
        <v>72</v>
      </c>
      <c r="B22" s="4" t="s">
        <v>73</v>
      </c>
      <c r="C22" s="4">
        <f t="shared" si="0"/>
        <v>2015</v>
      </c>
      <c r="D22" s="4">
        <f>MONTH(Table2[[#This Row],[Purchase Date]])</f>
        <v>10</v>
      </c>
      <c r="E22" s="5">
        <v>42308</v>
      </c>
      <c r="F22" s="4" t="s">
        <v>18</v>
      </c>
      <c r="G22" s="6">
        <v>1934.91</v>
      </c>
      <c r="H22" s="4" t="s">
        <v>13</v>
      </c>
      <c r="I22" s="4" t="s">
        <v>25</v>
      </c>
      <c r="J22" s="4" t="s">
        <v>21</v>
      </c>
    </row>
    <row r="23" spans="1:10" ht="15.6" x14ac:dyDescent="0.3">
      <c r="A23" s="4" t="s">
        <v>74</v>
      </c>
      <c r="B23" s="4" t="s">
        <v>75</v>
      </c>
      <c r="C23" s="4">
        <f t="shared" si="0"/>
        <v>2015</v>
      </c>
      <c r="D23" s="4">
        <f>MONTH(Table2[[#This Row],[Purchase Date]])</f>
        <v>11</v>
      </c>
      <c r="E23" s="5">
        <v>42309</v>
      </c>
      <c r="F23" s="4" t="s">
        <v>52</v>
      </c>
      <c r="G23" s="6">
        <v>585.80999999999995</v>
      </c>
      <c r="H23" s="4" t="s">
        <v>46</v>
      </c>
      <c r="I23" s="4" t="s">
        <v>32</v>
      </c>
      <c r="J23" s="4" t="s">
        <v>29</v>
      </c>
    </row>
    <row r="24" spans="1:10" ht="15.6" x14ac:dyDescent="0.3">
      <c r="A24" s="4" t="s">
        <v>76</v>
      </c>
      <c r="B24" s="4" t="s">
        <v>77</v>
      </c>
      <c r="C24" s="4">
        <f t="shared" si="0"/>
        <v>2015</v>
      </c>
      <c r="D24" s="4">
        <f>MONTH(Table2[[#This Row],[Purchase Date]])</f>
        <v>11</v>
      </c>
      <c r="E24" s="5">
        <v>42328</v>
      </c>
      <c r="F24" s="4" t="s">
        <v>52</v>
      </c>
      <c r="G24" s="6">
        <v>455.9</v>
      </c>
      <c r="H24" s="4" t="s">
        <v>19</v>
      </c>
      <c r="I24" s="4" t="s">
        <v>53</v>
      </c>
      <c r="J24" s="4" t="s">
        <v>29</v>
      </c>
    </row>
    <row r="25" spans="1:10" ht="15.6" x14ac:dyDescent="0.3">
      <c r="A25" s="4" t="s">
        <v>78</v>
      </c>
      <c r="B25" s="4" t="s">
        <v>79</v>
      </c>
      <c r="C25" s="4">
        <f t="shared" si="0"/>
        <v>2016</v>
      </c>
      <c r="D25" s="4">
        <f>MONTH(Table2[[#This Row],[Purchase Date]])</f>
        <v>1</v>
      </c>
      <c r="E25" s="5">
        <v>42393</v>
      </c>
      <c r="F25" s="4" t="s">
        <v>80</v>
      </c>
      <c r="G25" s="6">
        <v>1923.17</v>
      </c>
      <c r="H25" s="4" t="s">
        <v>13</v>
      </c>
      <c r="I25" s="4" t="s">
        <v>53</v>
      </c>
      <c r="J25" s="4" t="s">
        <v>15</v>
      </c>
    </row>
    <row r="26" spans="1:10" ht="15.6" x14ac:dyDescent="0.3">
      <c r="A26" s="4" t="s">
        <v>81</v>
      </c>
      <c r="B26" s="4" t="s">
        <v>82</v>
      </c>
      <c r="C26" s="4">
        <f t="shared" si="0"/>
        <v>2016</v>
      </c>
      <c r="D26" s="4">
        <f>MONTH(Table2[[#This Row],[Purchase Date]])</f>
        <v>1</v>
      </c>
      <c r="E26" s="5">
        <v>42395</v>
      </c>
      <c r="F26" s="4" t="s">
        <v>28</v>
      </c>
      <c r="G26" s="6">
        <v>970.54</v>
      </c>
      <c r="H26" s="4" t="s">
        <v>46</v>
      </c>
      <c r="I26" s="4" t="s">
        <v>53</v>
      </c>
      <c r="J26" s="4" t="s">
        <v>15</v>
      </c>
    </row>
    <row r="27" spans="1:10" ht="15.6" x14ac:dyDescent="0.3">
      <c r="A27" s="4" t="s">
        <v>83</v>
      </c>
      <c r="B27" s="4" t="s">
        <v>84</v>
      </c>
      <c r="C27" s="4">
        <f t="shared" si="0"/>
        <v>2016</v>
      </c>
      <c r="D27" s="4">
        <f>MONTH(Table2[[#This Row],[Purchase Date]])</f>
        <v>1</v>
      </c>
      <c r="E27" s="5">
        <v>42400</v>
      </c>
      <c r="F27" s="4" t="s">
        <v>12</v>
      </c>
      <c r="G27" s="6">
        <v>1021.11</v>
      </c>
      <c r="H27" s="4" t="s">
        <v>19</v>
      </c>
      <c r="I27" s="4" t="s">
        <v>53</v>
      </c>
      <c r="J27" s="4" t="s">
        <v>15</v>
      </c>
    </row>
    <row r="28" spans="1:10" ht="15.6" x14ac:dyDescent="0.3">
      <c r="A28" s="4" t="s">
        <v>85</v>
      </c>
      <c r="B28" s="4" t="s">
        <v>86</v>
      </c>
      <c r="C28" s="4">
        <f t="shared" si="0"/>
        <v>2016</v>
      </c>
      <c r="D28" s="4">
        <f>MONTH(Table2[[#This Row],[Purchase Date]])</f>
        <v>2</v>
      </c>
      <c r="E28" s="5">
        <v>42428</v>
      </c>
      <c r="F28" s="4" t="s">
        <v>87</v>
      </c>
      <c r="G28" s="6">
        <v>342.66</v>
      </c>
      <c r="H28" s="4" t="s">
        <v>46</v>
      </c>
      <c r="I28" s="4" t="s">
        <v>25</v>
      </c>
      <c r="J28" s="4" t="s">
        <v>15</v>
      </c>
    </row>
    <row r="29" spans="1:10" ht="15.6" x14ac:dyDescent="0.3">
      <c r="A29" s="4" t="s">
        <v>88</v>
      </c>
      <c r="B29" s="4" t="s">
        <v>89</v>
      </c>
      <c r="C29" s="4">
        <f t="shared" si="0"/>
        <v>2016</v>
      </c>
      <c r="D29" s="4">
        <f>MONTH(Table2[[#This Row],[Purchase Date]])</f>
        <v>4</v>
      </c>
      <c r="E29" s="5">
        <v>42482</v>
      </c>
      <c r="F29" s="4" t="s">
        <v>35</v>
      </c>
      <c r="G29" s="6">
        <v>267.58</v>
      </c>
      <c r="H29" s="4" t="s">
        <v>19</v>
      </c>
      <c r="I29" s="4" t="s">
        <v>39</v>
      </c>
      <c r="J29" s="4" t="s">
        <v>21</v>
      </c>
    </row>
    <row r="30" spans="1:10" ht="15.6" x14ac:dyDescent="0.3">
      <c r="A30" s="4" t="s">
        <v>90</v>
      </c>
      <c r="B30" s="4" t="s">
        <v>91</v>
      </c>
      <c r="C30" s="4">
        <f t="shared" si="0"/>
        <v>2016</v>
      </c>
      <c r="D30" s="4">
        <f>MONTH(Table2[[#This Row],[Purchase Date]])</f>
        <v>4</v>
      </c>
      <c r="E30" s="5">
        <v>42487</v>
      </c>
      <c r="F30" s="4" t="s">
        <v>69</v>
      </c>
      <c r="G30" s="6">
        <v>1233.43</v>
      </c>
      <c r="H30" s="4" t="s">
        <v>19</v>
      </c>
      <c r="I30" s="4" t="s">
        <v>53</v>
      </c>
      <c r="J30" s="4" t="s">
        <v>21</v>
      </c>
    </row>
    <row r="31" spans="1:10" ht="15.6" x14ac:dyDescent="0.3">
      <c r="A31" s="4" t="s">
        <v>92</v>
      </c>
      <c r="B31" s="4" t="s">
        <v>93</v>
      </c>
      <c r="C31" s="4">
        <f t="shared" si="0"/>
        <v>2016</v>
      </c>
      <c r="D31" s="4">
        <f>MONTH(Table2[[#This Row],[Purchase Date]])</f>
        <v>4</v>
      </c>
      <c r="E31" s="5">
        <v>42488</v>
      </c>
      <c r="F31" s="4" t="s">
        <v>52</v>
      </c>
      <c r="G31" s="6">
        <v>1950.8</v>
      </c>
      <c r="H31" s="4" t="s">
        <v>19</v>
      </c>
      <c r="I31" s="4" t="s">
        <v>32</v>
      </c>
      <c r="J31" s="4" t="s">
        <v>21</v>
      </c>
    </row>
    <row r="32" spans="1:10" ht="15.6" x14ac:dyDescent="0.3">
      <c r="A32" s="4" t="s">
        <v>94</v>
      </c>
      <c r="B32" s="4" t="s">
        <v>95</v>
      </c>
      <c r="C32" s="4">
        <f t="shared" si="0"/>
        <v>2016</v>
      </c>
      <c r="D32" s="4">
        <f>MONTH(Table2[[#This Row],[Purchase Date]])</f>
        <v>5</v>
      </c>
      <c r="E32" s="5">
        <v>42514</v>
      </c>
      <c r="F32" s="4" t="s">
        <v>52</v>
      </c>
      <c r="G32" s="6">
        <v>1185.3699999999999</v>
      </c>
      <c r="H32" s="4" t="s">
        <v>19</v>
      </c>
      <c r="I32" s="4" t="s">
        <v>25</v>
      </c>
      <c r="J32" s="4" t="s">
        <v>29</v>
      </c>
    </row>
    <row r="33" spans="1:10" ht="15.6" x14ac:dyDescent="0.3">
      <c r="A33" s="4" t="s">
        <v>96</v>
      </c>
      <c r="B33" s="4" t="s">
        <v>97</v>
      </c>
      <c r="C33" s="4">
        <f t="shared" si="0"/>
        <v>2016</v>
      </c>
      <c r="D33" s="4">
        <f>MONTH(Table2[[#This Row],[Purchase Date]])</f>
        <v>5</v>
      </c>
      <c r="E33" s="5">
        <v>42519</v>
      </c>
      <c r="F33" s="4" t="s">
        <v>24</v>
      </c>
      <c r="G33" s="6">
        <v>1904.73</v>
      </c>
      <c r="H33" s="4" t="s">
        <v>19</v>
      </c>
      <c r="I33" s="4" t="s">
        <v>20</v>
      </c>
      <c r="J33" s="4" t="s">
        <v>21</v>
      </c>
    </row>
    <row r="34" spans="1:10" ht="15.6" x14ac:dyDescent="0.3">
      <c r="A34" s="4" t="s">
        <v>98</v>
      </c>
      <c r="B34" s="4" t="s">
        <v>99</v>
      </c>
      <c r="C34" s="4">
        <f t="shared" si="0"/>
        <v>2016</v>
      </c>
      <c r="D34" s="4">
        <f>MONTH(Table2[[#This Row],[Purchase Date]])</f>
        <v>6</v>
      </c>
      <c r="E34" s="5">
        <v>42538</v>
      </c>
      <c r="F34" s="4" t="s">
        <v>87</v>
      </c>
      <c r="G34" s="6">
        <v>729.46</v>
      </c>
      <c r="H34" s="4" t="s">
        <v>19</v>
      </c>
      <c r="I34" s="4" t="s">
        <v>64</v>
      </c>
      <c r="J34" s="4" t="s">
        <v>21</v>
      </c>
    </row>
    <row r="35" spans="1:10" ht="15.6" x14ac:dyDescent="0.3">
      <c r="A35" s="4" t="s">
        <v>100</v>
      </c>
      <c r="B35" s="4" t="s">
        <v>101</v>
      </c>
      <c r="C35" s="4">
        <f t="shared" si="0"/>
        <v>2016</v>
      </c>
      <c r="D35" s="4">
        <f>MONTH(Table2[[#This Row],[Purchase Date]])</f>
        <v>6</v>
      </c>
      <c r="E35" s="5">
        <v>42549</v>
      </c>
      <c r="F35" s="4" t="s">
        <v>12</v>
      </c>
      <c r="G35" s="6">
        <v>296.02999999999997</v>
      </c>
      <c r="H35" s="4" t="s">
        <v>46</v>
      </c>
      <c r="I35" s="4" t="s">
        <v>36</v>
      </c>
      <c r="J35" s="4" t="s">
        <v>15</v>
      </c>
    </row>
    <row r="36" spans="1:10" ht="15.6" x14ac:dyDescent="0.3">
      <c r="A36" s="4" t="s">
        <v>102</v>
      </c>
      <c r="B36" s="4" t="s">
        <v>103</v>
      </c>
      <c r="C36" s="4">
        <f t="shared" si="0"/>
        <v>2016</v>
      </c>
      <c r="D36" s="4">
        <f>MONTH(Table2[[#This Row],[Purchase Date]])</f>
        <v>8</v>
      </c>
      <c r="E36" s="5">
        <v>42586</v>
      </c>
      <c r="F36" s="4" t="s">
        <v>18</v>
      </c>
      <c r="G36" s="6">
        <v>1911.79</v>
      </c>
      <c r="H36" s="4" t="s">
        <v>46</v>
      </c>
      <c r="I36" s="4" t="s">
        <v>25</v>
      </c>
      <c r="J36" s="4" t="s">
        <v>15</v>
      </c>
    </row>
    <row r="37" spans="1:10" ht="15.6" x14ac:dyDescent="0.3">
      <c r="A37" s="4" t="s">
        <v>104</v>
      </c>
      <c r="B37" s="4" t="s">
        <v>105</v>
      </c>
      <c r="C37" s="4">
        <f t="shared" si="0"/>
        <v>2016</v>
      </c>
      <c r="D37" s="4">
        <f>MONTH(Table2[[#This Row],[Purchase Date]])</f>
        <v>8</v>
      </c>
      <c r="E37" s="5">
        <v>42600</v>
      </c>
      <c r="F37" s="4" t="s">
        <v>35</v>
      </c>
      <c r="G37" s="6">
        <v>1795.47</v>
      </c>
      <c r="H37" s="4" t="s">
        <v>13</v>
      </c>
      <c r="I37" s="4" t="s">
        <v>106</v>
      </c>
      <c r="J37" s="4" t="s">
        <v>15</v>
      </c>
    </row>
    <row r="38" spans="1:10" ht="15.6" x14ac:dyDescent="0.3">
      <c r="A38" s="4" t="s">
        <v>107</v>
      </c>
      <c r="B38" s="4" t="s">
        <v>108</v>
      </c>
      <c r="C38" s="4">
        <f t="shared" si="0"/>
        <v>2016</v>
      </c>
      <c r="D38" s="4">
        <f>MONTH(Table2[[#This Row],[Purchase Date]])</f>
        <v>9</v>
      </c>
      <c r="E38" s="5">
        <v>42620</v>
      </c>
      <c r="F38" s="4" t="s">
        <v>69</v>
      </c>
      <c r="G38" s="6">
        <v>709.01</v>
      </c>
      <c r="H38" s="4" t="s">
        <v>19</v>
      </c>
      <c r="I38" s="4" t="s">
        <v>14</v>
      </c>
      <c r="J38" s="4" t="s">
        <v>29</v>
      </c>
    </row>
    <row r="39" spans="1:10" ht="15.6" x14ac:dyDescent="0.3">
      <c r="A39" s="4" t="s">
        <v>109</v>
      </c>
      <c r="B39" s="4" t="s">
        <v>110</v>
      </c>
      <c r="C39" s="4">
        <f t="shared" si="0"/>
        <v>2016</v>
      </c>
      <c r="D39" s="4">
        <f>MONTH(Table2[[#This Row],[Purchase Date]])</f>
        <v>9</v>
      </c>
      <c r="E39" s="5">
        <v>42631</v>
      </c>
      <c r="F39" s="4" t="s">
        <v>111</v>
      </c>
      <c r="G39" s="6">
        <v>230.71</v>
      </c>
      <c r="H39" s="4" t="s">
        <v>46</v>
      </c>
      <c r="I39" s="4" t="s">
        <v>20</v>
      </c>
      <c r="J39" s="4" t="s">
        <v>21</v>
      </c>
    </row>
    <row r="40" spans="1:10" ht="15.6" x14ac:dyDescent="0.3">
      <c r="A40" s="4" t="s">
        <v>112</v>
      </c>
      <c r="B40" s="4" t="s">
        <v>113</v>
      </c>
      <c r="C40" s="4">
        <f t="shared" si="0"/>
        <v>2016</v>
      </c>
      <c r="D40" s="4">
        <f>MONTH(Table2[[#This Row],[Purchase Date]])</f>
        <v>11</v>
      </c>
      <c r="E40" s="5">
        <v>42700</v>
      </c>
      <c r="F40" s="4" t="s">
        <v>28</v>
      </c>
      <c r="G40" s="6">
        <v>1174.22</v>
      </c>
      <c r="H40" s="4" t="s">
        <v>13</v>
      </c>
      <c r="I40" s="4" t="s">
        <v>25</v>
      </c>
      <c r="J40" s="4" t="s">
        <v>15</v>
      </c>
    </row>
    <row r="41" spans="1:10" ht="15.6" x14ac:dyDescent="0.3">
      <c r="A41" s="4" t="s">
        <v>114</v>
      </c>
      <c r="B41" s="4" t="s">
        <v>115</v>
      </c>
      <c r="C41" s="4">
        <f t="shared" si="0"/>
        <v>2016</v>
      </c>
      <c r="D41" s="4">
        <f>MONTH(Table2[[#This Row],[Purchase Date]])</f>
        <v>12</v>
      </c>
      <c r="E41" s="5">
        <v>42708</v>
      </c>
      <c r="F41" s="4" t="s">
        <v>80</v>
      </c>
      <c r="G41" s="6">
        <v>1311.96</v>
      </c>
      <c r="H41" s="4" t="s">
        <v>13</v>
      </c>
      <c r="I41" s="4" t="s">
        <v>64</v>
      </c>
      <c r="J41" s="4" t="s">
        <v>15</v>
      </c>
    </row>
    <row r="42" spans="1:10" ht="15.6" x14ac:dyDescent="0.3">
      <c r="A42" s="4" t="s">
        <v>116</v>
      </c>
      <c r="B42" s="4" t="s">
        <v>117</v>
      </c>
      <c r="C42" s="4">
        <f t="shared" si="0"/>
        <v>2016</v>
      </c>
      <c r="D42" s="4">
        <f>MONTH(Table2[[#This Row],[Purchase Date]])</f>
        <v>12</v>
      </c>
      <c r="E42" s="5">
        <v>42708</v>
      </c>
      <c r="F42" s="4" t="s">
        <v>80</v>
      </c>
      <c r="G42" s="6">
        <v>761.49</v>
      </c>
      <c r="H42" s="4" t="s">
        <v>19</v>
      </c>
      <c r="I42" s="4" t="s">
        <v>53</v>
      </c>
      <c r="J42" s="4" t="s">
        <v>15</v>
      </c>
    </row>
    <row r="43" spans="1:10" ht="15.6" x14ac:dyDescent="0.3">
      <c r="A43" s="4" t="s">
        <v>118</v>
      </c>
      <c r="B43" s="4" t="s">
        <v>119</v>
      </c>
      <c r="C43" s="4">
        <f t="shared" si="0"/>
        <v>2016</v>
      </c>
      <c r="D43" s="4">
        <f>MONTH(Table2[[#This Row],[Purchase Date]])</f>
        <v>12</v>
      </c>
      <c r="E43" s="5">
        <v>42709</v>
      </c>
      <c r="F43" s="4" t="s">
        <v>87</v>
      </c>
      <c r="G43" s="6">
        <v>691.42</v>
      </c>
      <c r="H43" s="4" t="s">
        <v>46</v>
      </c>
      <c r="I43" s="4" t="s">
        <v>47</v>
      </c>
      <c r="J43" s="4" t="s">
        <v>15</v>
      </c>
    </row>
    <row r="44" spans="1:10" ht="15.6" x14ac:dyDescent="0.3">
      <c r="A44" s="4" t="s">
        <v>120</v>
      </c>
      <c r="B44" s="4" t="s">
        <v>121</v>
      </c>
      <c r="C44" s="4">
        <f t="shared" si="0"/>
        <v>2016</v>
      </c>
      <c r="D44" s="4">
        <f>MONTH(Table2[[#This Row],[Purchase Date]])</f>
        <v>12</v>
      </c>
      <c r="E44" s="5">
        <v>42726</v>
      </c>
      <c r="F44" s="4" t="s">
        <v>35</v>
      </c>
      <c r="G44" s="6">
        <v>855.13</v>
      </c>
      <c r="H44" s="4" t="s">
        <v>13</v>
      </c>
      <c r="I44" s="4" t="s">
        <v>25</v>
      </c>
      <c r="J44" s="4" t="s">
        <v>15</v>
      </c>
    </row>
    <row r="45" spans="1:10" ht="15.6" x14ac:dyDescent="0.3">
      <c r="A45" s="4" t="s">
        <v>122</v>
      </c>
      <c r="B45" s="4" t="s">
        <v>123</v>
      </c>
      <c r="C45" s="4">
        <f t="shared" si="0"/>
        <v>2017</v>
      </c>
      <c r="D45" s="4">
        <f>MONTH(Table2[[#This Row],[Purchase Date]])</f>
        <v>1</v>
      </c>
      <c r="E45" s="5">
        <v>42758</v>
      </c>
      <c r="F45" s="4" t="s">
        <v>28</v>
      </c>
      <c r="G45" s="6">
        <v>1400.09</v>
      </c>
      <c r="H45" s="4" t="s">
        <v>46</v>
      </c>
      <c r="I45" s="4" t="s">
        <v>20</v>
      </c>
      <c r="J45" s="4" t="s">
        <v>21</v>
      </c>
    </row>
    <row r="46" spans="1:10" ht="15.6" x14ac:dyDescent="0.3">
      <c r="A46" s="4" t="s">
        <v>124</v>
      </c>
      <c r="B46" s="4" t="s">
        <v>125</v>
      </c>
      <c r="C46" s="4">
        <f t="shared" si="0"/>
        <v>2017</v>
      </c>
      <c r="D46" s="4">
        <f>MONTH(Table2[[#This Row],[Purchase Date]])</f>
        <v>1</v>
      </c>
      <c r="E46" s="5">
        <v>42760</v>
      </c>
      <c r="F46" s="4" t="s">
        <v>69</v>
      </c>
      <c r="G46" s="6">
        <v>1740.47</v>
      </c>
      <c r="H46" s="4" t="s">
        <v>13</v>
      </c>
      <c r="I46" s="4" t="s">
        <v>32</v>
      </c>
      <c r="J46" s="4" t="s">
        <v>29</v>
      </c>
    </row>
    <row r="47" spans="1:10" ht="15.6" x14ac:dyDescent="0.3">
      <c r="A47" s="4" t="s">
        <v>126</v>
      </c>
      <c r="B47" s="4" t="s">
        <v>127</v>
      </c>
      <c r="C47" s="4">
        <f t="shared" si="0"/>
        <v>2017</v>
      </c>
      <c r="D47" s="4">
        <f>MONTH(Table2[[#This Row],[Purchase Date]])</f>
        <v>2</v>
      </c>
      <c r="E47" s="5">
        <v>42777</v>
      </c>
      <c r="F47" s="4" t="s">
        <v>35</v>
      </c>
      <c r="G47" s="6">
        <v>1438.28</v>
      </c>
      <c r="H47" s="4" t="s">
        <v>19</v>
      </c>
      <c r="I47" s="4" t="s">
        <v>32</v>
      </c>
      <c r="J47" s="4" t="s">
        <v>29</v>
      </c>
    </row>
    <row r="48" spans="1:10" ht="15.6" x14ac:dyDescent="0.3">
      <c r="A48" s="4" t="s">
        <v>128</v>
      </c>
      <c r="B48" s="4" t="s">
        <v>129</v>
      </c>
      <c r="C48" s="4">
        <f t="shared" si="0"/>
        <v>2017</v>
      </c>
      <c r="D48" s="4">
        <f>MONTH(Table2[[#This Row],[Purchase Date]])</f>
        <v>2</v>
      </c>
      <c r="E48" s="5">
        <v>42778</v>
      </c>
      <c r="F48" s="4" t="s">
        <v>35</v>
      </c>
      <c r="G48" s="6">
        <v>615.67999999999995</v>
      </c>
      <c r="H48" s="4" t="s">
        <v>19</v>
      </c>
      <c r="I48" s="4" t="s">
        <v>36</v>
      </c>
      <c r="J48" s="4" t="s">
        <v>21</v>
      </c>
    </row>
    <row r="49" spans="1:10" ht="15.6" x14ac:dyDescent="0.3">
      <c r="A49" s="4" t="s">
        <v>130</v>
      </c>
      <c r="B49" s="4" t="s">
        <v>131</v>
      </c>
      <c r="C49" s="4">
        <f t="shared" si="0"/>
        <v>2017</v>
      </c>
      <c r="D49" s="4">
        <f>MONTH(Table2[[#This Row],[Purchase Date]])</f>
        <v>3</v>
      </c>
      <c r="E49" s="5">
        <v>42810</v>
      </c>
      <c r="F49" s="4" t="s">
        <v>18</v>
      </c>
      <c r="G49" s="6">
        <v>645.30999999999995</v>
      </c>
      <c r="H49" s="4" t="s">
        <v>19</v>
      </c>
      <c r="I49" s="4" t="s">
        <v>39</v>
      </c>
      <c r="J49" s="4" t="s">
        <v>21</v>
      </c>
    </row>
    <row r="50" spans="1:10" ht="15.6" x14ac:dyDescent="0.3">
      <c r="A50" s="4" t="s">
        <v>83</v>
      </c>
      <c r="B50" s="4" t="s">
        <v>132</v>
      </c>
      <c r="C50" s="4">
        <f t="shared" si="0"/>
        <v>2017</v>
      </c>
      <c r="D50" s="4">
        <f>MONTH(Table2[[#This Row],[Purchase Date]])</f>
        <v>3</v>
      </c>
      <c r="E50" s="5">
        <v>42823</v>
      </c>
      <c r="F50" s="4" t="s">
        <v>28</v>
      </c>
      <c r="G50" s="6">
        <v>416.26</v>
      </c>
      <c r="H50" s="4" t="s">
        <v>19</v>
      </c>
      <c r="I50" s="4" t="s">
        <v>36</v>
      </c>
      <c r="J50" s="4" t="s">
        <v>29</v>
      </c>
    </row>
    <row r="51" spans="1:10" ht="15.6" x14ac:dyDescent="0.3">
      <c r="A51" s="4" t="s">
        <v>133</v>
      </c>
      <c r="B51" s="4" t="s">
        <v>134</v>
      </c>
      <c r="C51" s="4">
        <f t="shared" si="0"/>
        <v>2017</v>
      </c>
      <c r="D51" s="4">
        <f>MONTH(Table2[[#This Row],[Purchase Date]])</f>
        <v>4</v>
      </c>
      <c r="E51" s="5">
        <v>42831</v>
      </c>
      <c r="F51" s="4" t="s">
        <v>52</v>
      </c>
      <c r="G51" s="6">
        <v>481.79</v>
      </c>
      <c r="H51" s="4" t="s">
        <v>46</v>
      </c>
      <c r="I51" s="4" t="s">
        <v>39</v>
      </c>
      <c r="J51" s="4" t="s">
        <v>29</v>
      </c>
    </row>
    <row r="52" spans="1:10" ht="15.6" x14ac:dyDescent="0.3">
      <c r="A52" s="4" t="s">
        <v>135</v>
      </c>
      <c r="B52" s="4" t="s">
        <v>136</v>
      </c>
      <c r="C52" s="4">
        <f t="shared" si="0"/>
        <v>2017</v>
      </c>
      <c r="D52" s="4">
        <f>MONTH(Table2[[#This Row],[Purchase Date]])</f>
        <v>4</v>
      </c>
      <c r="E52" s="5">
        <v>42841</v>
      </c>
      <c r="F52" s="4" t="s">
        <v>80</v>
      </c>
      <c r="G52" s="6">
        <v>1415.47</v>
      </c>
      <c r="H52" s="4" t="s">
        <v>19</v>
      </c>
      <c r="I52" s="4" t="s">
        <v>53</v>
      </c>
      <c r="J52" s="4" t="s">
        <v>21</v>
      </c>
    </row>
    <row r="53" spans="1:10" ht="15.6" x14ac:dyDescent="0.3">
      <c r="A53" s="4" t="s">
        <v>137</v>
      </c>
      <c r="B53" s="4" t="s">
        <v>138</v>
      </c>
      <c r="C53" s="4">
        <f t="shared" si="0"/>
        <v>2017</v>
      </c>
      <c r="D53" s="4">
        <f>MONTH(Table2[[#This Row],[Purchase Date]])</f>
        <v>4</v>
      </c>
      <c r="E53" s="5">
        <v>42853</v>
      </c>
      <c r="F53" s="4" t="s">
        <v>80</v>
      </c>
      <c r="G53" s="6">
        <v>395.5</v>
      </c>
      <c r="H53" s="4" t="s">
        <v>19</v>
      </c>
      <c r="I53" s="4" t="s">
        <v>39</v>
      </c>
      <c r="J53" s="4" t="s">
        <v>15</v>
      </c>
    </row>
    <row r="54" spans="1:10" ht="15.6" x14ac:dyDescent="0.3">
      <c r="A54" s="4" t="s">
        <v>139</v>
      </c>
      <c r="B54" s="4" t="s">
        <v>140</v>
      </c>
      <c r="C54" s="4">
        <f t="shared" si="0"/>
        <v>2017</v>
      </c>
      <c r="D54" s="4">
        <f>MONTH(Table2[[#This Row],[Purchase Date]])</f>
        <v>5</v>
      </c>
      <c r="E54" s="5">
        <v>42857</v>
      </c>
      <c r="F54" s="4" t="s">
        <v>52</v>
      </c>
      <c r="G54" s="6">
        <v>1323.02</v>
      </c>
      <c r="H54" s="4" t="s">
        <v>46</v>
      </c>
      <c r="I54" s="4" t="s">
        <v>14</v>
      </c>
      <c r="J54" s="4" t="s">
        <v>29</v>
      </c>
    </row>
    <row r="55" spans="1:10" ht="15.6" x14ac:dyDescent="0.3">
      <c r="A55" s="4" t="s">
        <v>141</v>
      </c>
      <c r="B55" s="4" t="s">
        <v>142</v>
      </c>
      <c r="C55" s="4">
        <f t="shared" si="0"/>
        <v>2017</v>
      </c>
      <c r="D55" s="4">
        <f>MONTH(Table2[[#This Row],[Purchase Date]])</f>
        <v>5</v>
      </c>
      <c r="E55" s="5">
        <v>42858</v>
      </c>
      <c r="F55" s="4" t="s">
        <v>18</v>
      </c>
      <c r="G55" s="6">
        <v>1472.94</v>
      </c>
      <c r="H55" s="4" t="s">
        <v>13</v>
      </c>
      <c r="I55" s="4" t="s">
        <v>39</v>
      </c>
      <c r="J55" s="4" t="s">
        <v>21</v>
      </c>
    </row>
    <row r="56" spans="1:10" ht="15.6" x14ac:dyDescent="0.3">
      <c r="A56" s="4" t="s">
        <v>143</v>
      </c>
      <c r="B56" s="4" t="s">
        <v>144</v>
      </c>
      <c r="C56" s="4">
        <f t="shared" si="0"/>
        <v>2017</v>
      </c>
      <c r="D56" s="4">
        <f>MONTH(Table2[[#This Row],[Purchase Date]])</f>
        <v>5</v>
      </c>
      <c r="E56" s="5">
        <v>42871</v>
      </c>
      <c r="F56" s="4" t="s">
        <v>12</v>
      </c>
      <c r="G56" s="6">
        <v>1974</v>
      </c>
      <c r="H56" s="4" t="s">
        <v>46</v>
      </c>
      <c r="I56" s="4" t="s">
        <v>20</v>
      </c>
      <c r="J56" s="4" t="s">
        <v>15</v>
      </c>
    </row>
    <row r="57" spans="1:10" ht="15.6" x14ac:dyDescent="0.3">
      <c r="A57" s="4" t="s">
        <v>145</v>
      </c>
      <c r="B57" s="4" t="s">
        <v>146</v>
      </c>
      <c r="C57" s="4">
        <f t="shared" si="0"/>
        <v>2017</v>
      </c>
      <c r="D57" s="4">
        <f>MONTH(Table2[[#This Row],[Purchase Date]])</f>
        <v>6</v>
      </c>
      <c r="E57" s="5">
        <v>42900</v>
      </c>
      <c r="F57" s="4" t="s">
        <v>87</v>
      </c>
      <c r="G57" s="6">
        <v>1777.38</v>
      </c>
      <c r="H57" s="4" t="s">
        <v>13</v>
      </c>
      <c r="I57" s="4" t="s">
        <v>53</v>
      </c>
      <c r="J57" s="4" t="s">
        <v>29</v>
      </c>
    </row>
    <row r="58" spans="1:10" ht="15.6" x14ac:dyDescent="0.3">
      <c r="A58" s="4" t="s">
        <v>147</v>
      </c>
      <c r="B58" s="4" t="s">
        <v>148</v>
      </c>
      <c r="C58" s="4">
        <f t="shared" si="0"/>
        <v>2017</v>
      </c>
      <c r="D58" s="4">
        <f>MONTH(Table2[[#This Row],[Purchase Date]])</f>
        <v>6</v>
      </c>
      <c r="E58" s="5">
        <v>42909</v>
      </c>
      <c r="F58" s="4" t="s">
        <v>80</v>
      </c>
      <c r="G58" s="6">
        <v>1165.18</v>
      </c>
      <c r="H58" s="4" t="s">
        <v>19</v>
      </c>
      <c r="I58" s="4" t="s">
        <v>106</v>
      </c>
      <c r="J58" s="4" t="s">
        <v>29</v>
      </c>
    </row>
    <row r="59" spans="1:10" ht="15.6" x14ac:dyDescent="0.3">
      <c r="A59" s="4" t="s">
        <v>149</v>
      </c>
      <c r="B59" s="4" t="s">
        <v>150</v>
      </c>
      <c r="C59" s="4">
        <f t="shared" si="0"/>
        <v>2017</v>
      </c>
      <c r="D59" s="4">
        <f>MONTH(Table2[[#This Row],[Purchase Date]])</f>
        <v>6</v>
      </c>
      <c r="E59" s="5">
        <v>42909</v>
      </c>
      <c r="F59" s="4" t="s">
        <v>18</v>
      </c>
      <c r="G59" s="6">
        <v>268.52</v>
      </c>
      <c r="H59" s="4" t="s">
        <v>46</v>
      </c>
      <c r="I59" s="4" t="s">
        <v>20</v>
      </c>
      <c r="J59" s="4" t="s">
        <v>21</v>
      </c>
    </row>
    <row r="60" spans="1:10" ht="15.6" x14ac:dyDescent="0.3">
      <c r="A60" s="4" t="s">
        <v>151</v>
      </c>
      <c r="B60" s="4" t="s">
        <v>152</v>
      </c>
      <c r="C60" s="4">
        <f t="shared" si="0"/>
        <v>2017</v>
      </c>
      <c r="D60" s="4">
        <f>MONTH(Table2[[#This Row],[Purchase Date]])</f>
        <v>6</v>
      </c>
      <c r="E60" s="5">
        <v>42911</v>
      </c>
      <c r="F60" s="4" t="s">
        <v>80</v>
      </c>
      <c r="G60" s="6">
        <v>230.73</v>
      </c>
      <c r="H60" s="4" t="s">
        <v>19</v>
      </c>
      <c r="I60" s="4" t="s">
        <v>106</v>
      </c>
      <c r="J60" s="4" t="s">
        <v>21</v>
      </c>
    </row>
    <row r="61" spans="1:10" ht="15.6" x14ac:dyDescent="0.3">
      <c r="A61" s="4" t="s">
        <v>153</v>
      </c>
      <c r="B61" s="4" t="s">
        <v>154</v>
      </c>
      <c r="C61" s="4">
        <f t="shared" si="0"/>
        <v>2017</v>
      </c>
      <c r="D61" s="4">
        <f>MONTH(Table2[[#This Row],[Purchase Date]])</f>
        <v>6</v>
      </c>
      <c r="E61" s="5">
        <v>42912</v>
      </c>
      <c r="F61" s="4" t="s">
        <v>52</v>
      </c>
      <c r="G61" s="6">
        <v>538.49</v>
      </c>
      <c r="H61" s="4" t="s">
        <v>46</v>
      </c>
      <c r="I61" s="4" t="s">
        <v>64</v>
      </c>
      <c r="J61" s="4" t="s">
        <v>21</v>
      </c>
    </row>
    <row r="62" spans="1:10" ht="15.6" x14ac:dyDescent="0.3">
      <c r="A62" s="4" t="s">
        <v>155</v>
      </c>
      <c r="B62" s="4" t="s">
        <v>156</v>
      </c>
      <c r="C62" s="4">
        <f t="shared" si="0"/>
        <v>2017</v>
      </c>
      <c r="D62" s="4">
        <f>MONTH(Table2[[#This Row],[Purchase Date]])</f>
        <v>7</v>
      </c>
      <c r="E62" s="5">
        <v>42921</v>
      </c>
      <c r="F62" s="4" t="s">
        <v>12</v>
      </c>
      <c r="G62" s="6">
        <v>1553.23</v>
      </c>
      <c r="H62" s="4" t="s">
        <v>46</v>
      </c>
      <c r="I62" s="4" t="s">
        <v>14</v>
      </c>
      <c r="J62" s="4" t="s">
        <v>15</v>
      </c>
    </row>
    <row r="63" spans="1:10" ht="15.6" x14ac:dyDescent="0.3">
      <c r="A63" s="4" t="s">
        <v>157</v>
      </c>
      <c r="B63" s="4" t="s">
        <v>158</v>
      </c>
      <c r="C63" s="4">
        <f t="shared" si="0"/>
        <v>2017</v>
      </c>
      <c r="D63" s="4">
        <f>MONTH(Table2[[#This Row],[Purchase Date]])</f>
        <v>7</v>
      </c>
      <c r="E63" s="5">
        <v>42925</v>
      </c>
      <c r="F63" s="4" t="s">
        <v>87</v>
      </c>
      <c r="G63" s="6">
        <v>1592.34</v>
      </c>
      <c r="H63" s="4" t="s">
        <v>19</v>
      </c>
      <c r="I63" s="4" t="s">
        <v>47</v>
      </c>
      <c r="J63" s="4" t="s">
        <v>15</v>
      </c>
    </row>
    <row r="64" spans="1:10" ht="15.6" x14ac:dyDescent="0.3">
      <c r="A64" s="4" t="s">
        <v>159</v>
      </c>
      <c r="B64" s="4" t="s">
        <v>160</v>
      </c>
      <c r="C64" s="4">
        <f t="shared" si="0"/>
        <v>2017</v>
      </c>
      <c r="D64" s="4">
        <f>MONTH(Table2[[#This Row],[Purchase Date]])</f>
        <v>7</v>
      </c>
      <c r="E64" s="5">
        <v>42938</v>
      </c>
      <c r="F64" s="4" t="s">
        <v>52</v>
      </c>
      <c r="G64" s="6">
        <v>1907.83</v>
      </c>
      <c r="H64" s="4" t="s">
        <v>19</v>
      </c>
      <c r="I64" s="4" t="s">
        <v>36</v>
      </c>
      <c r="J64" s="4" t="s">
        <v>21</v>
      </c>
    </row>
    <row r="65" spans="1:10" ht="15.6" x14ac:dyDescent="0.3">
      <c r="A65" s="4" t="s">
        <v>161</v>
      </c>
      <c r="B65" s="4" t="s">
        <v>162</v>
      </c>
      <c r="C65" s="4">
        <f t="shared" si="0"/>
        <v>2017</v>
      </c>
      <c r="D65" s="4">
        <f>MONTH(Table2[[#This Row],[Purchase Date]])</f>
        <v>9</v>
      </c>
      <c r="E65" s="5">
        <v>42996</v>
      </c>
      <c r="F65" s="4" t="s">
        <v>35</v>
      </c>
      <c r="G65" s="6">
        <v>380.85</v>
      </c>
      <c r="H65" s="4" t="s">
        <v>46</v>
      </c>
      <c r="I65" s="4" t="s">
        <v>25</v>
      </c>
      <c r="J65" s="4" t="s">
        <v>21</v>
      </c>
    </row>
    <row r="66" spans="1:10" ht="15.6" x14ac:dyDescent="0.3">
      <c r="A66" s="4" t="s">
        <v>163</v>
      </c>
      <c r="B66" s="4" t="s">
        <v>164</v>
      </c>
      <c r="C66" s="4">
        <f t="shared" si="0"/>
        <v>2017</v>
      </c>
      <c r="D66" s="4">
        <f>MONTH(Table2[[#This Row],[Purchase Date]])</f>
        <v>9</v>
      </c>
      <c r="E66" s="5">
        <v>42997</v>
      </c>
      <c r="F66" s="4" t="s">
        <v>35</v>
      </c>
      <c r="G66" s="6">
        <v>198.56</v>
      </c>
      <c r="H66" s="4" t="s">
        <v>46</v>
      </c>
      <c r="I66" s="4" t="s">
        <v>14</v>
      </c>
      <c r="J66" s="4" t="s">
        <v>29</v>
      </c>
    </row>
    <row r="67" spans="1:10" ht="15.6" x14ac:dyDescent="0.3">
      <c r="A67" s="4" t="s">
        <v>165</v>
      </c>
      <c r="B67" s="4" t="s">
        <v>166</v>
      </c>
      <c r="C67" s="4">
        <f t="shared" ref="C67:C130" si="1">YEAR(E67)</f>
        <v>2017</v>
      </c>
      <c r="D67" s="4">
        <f>MONTH(Table2[[#This Row],[Purchase Date]])</f>
        <v>10</v>
      </c>
      <c r="E67" s="5">
        <v>43009</v>
      </c>
      <c r="F67" s="4" t="s">
        <v>12</v>
      </c>
      <c r="G67" s="6">
        <v>221.56</v>
      </c>
      <c r="H67" s="4" t="s">
        <v>46</v>
      </c>
      <c r="I67" s="4" t="s">
        <v>39</v>
      </c>
      <c r="J67" s="4" t="s">
        <v>29</v>
      </c>
    </row>
    <row r="68" spans="1:10" ht="15.6" x14ac:dyDescent="0.3">
      <c r="A68" s="4" t="s">
        <v>167</v>
      </c>
      <c r="B68" s="4" t="s">
        <v>168</v>
      </c>
      <c r="C68" s="4">
        <f t="shared" si="1"/>
        <v>2017</v>
      </c>
      <c r="D68" s="4">
        <f>MONTH(Table2[[#This Row],[Purchase Date]])</f>
        <v>10</v>
      </c>
      <c r="E68" s="5">
        <v>43016</v>
      </c>
      <c r="F68" s="4" t="s">
        <v>111</v>
      </c>
      <c r="G68" s="6">
        <v>242.89</v>
      </c>
      <c r="H68" s="4" t="s">
        <v>13</v>
      </c>
      <c r="I68" s="4" t="s">
        <v>64</v>
      </c>
      <c r="J68" s="4" t="s">
        <v>21</v>
      </c>
    </row>
    <row r="69" spans="1:10" ht="15.6" x14ac:dyDescent="0.3">
      <c r="A69" s="4" t="s">
        <v>169</v>
      </c>
      <c r="B69" s="4" t="s">
        <v>170</v>
      </c>
      <c r="C69" s="4">
        <f t="shared" si="1"/>
        <v>2017</v>
      </c>
      <c r="D69" s="4">
        <f>MONTH(Table2[[#This Row],[Purchase Date]])</f>
        <v>10</v>
      </c>
      <c r="E69" s="5">
        <v>43023</v>
      </c>
      <c r="F69" s="4" t="s">
        <v>35</v>
      </c>
      <c r="G69" s="6">
        <v>321.29000000000002</v>
      </c>
      <c r="H69" s="4" t="s">
        <v>19</v>
      </c>
      <c r="I69" s="4" t="s">
        <v>47</v>
      </c>
      <c r="J69" s="4" t="s">
        <v>15</v>
      </c>
    </row>
    <row r="70" spans="1:10" ht="15.6" x14ac:dyDescent="0.3">
      <c r="A70" s="4" t="s">
        <v>171</v>
      </c>
      <c r="B70" s="4" t="s">
        <v>172</v>
      </c>
      <c r="C70" s="4">
        <f t="shared" si="1"/>
        <v>2017</v>
      </c>
      <c r="D70" s="4">
        <f>MONTH(Table2[[#This Row],[Purchase Date]])</f>
        <v>10</v>
      </c>
      <c r="E70" s="5">
        <v>43032</v>
      </c>
      <c r="F70" s="4" t="s">
        <v>24</v>
      </c>
      <c r="G70" s="6">
        <v>663.46</v>
      </c>
      <c r="H70" s="4" t="s">
        <v>46</v>
      </c>
      <c r="I70" s="4" t="s">
        <v>39</v>
      </c>
      <c r="J70" s="4" t="s">
        <v>15</v>
      </c>
    </row>
    <row r="71" spans="1:10" ht="15.6" x14ac:dyDescent="0.3">
      <c r="A71" s="4" t="s">
        <v>173</v>
      </c>
      <c r="B71" s="4" t="s">
        <v>174</v>
      </c>
      <c r="C71" s="4">
        <f t="shared" si="1"/>
        <v>2017</v>
      </c>
      <c r="D71" s="4">
        <f>MONTH(Table2[[#This Row],[Purchase Date]])</f>
        <v>10</v>
      </c>
      <c r="E71" s="5">
        <v>43039</v>
      </c>
      <c r="F71" s="4" t="s">
        <v>80</v>
      </c>
      <c r="G71" s="6">
        <v>93.84</v>
      </c>
      <c r="H71" s="4" t="s">
        <v>19</v>
      </c>
      <c r="I71" s="4" t="s">
        <v>20</v>
      </c>
      <c r="J71" s="4" t="s">
        <v>21</v>
      </c>
    </row>
    <row r="72" spans="1:10" ht="15.6" x14ac:dyDescent="0.3">
      <c r="A72" s="4" t="s">
        <v>175</v>
      </c>
      <c r="B72" s="4" t="s">
        <v>176</v>
      </c>
      <c r="C72" s="4">
        <f t="shared" si="1"/>
        <v>2017</v>
      </c>
      <c r="D72" s="4">
        <f>MONTH(Table2[[#This Row],[Purchase Date]])</f>
        <v>11</v>
      </c>
      <c r="E72" s="5">
        <v>43061</v>
      </c>
      <c r="F72" s="4" t="s">
        <v>111</v>
      </c>
      <c r="G72" s="6">
        <v>1800.11</v>
      </c>
      <c r="H72" s="4" t="s">
        <v>19</v>
      </c>
      <c r="I72" s="4" t="s">
        <v>32</v>
      </c>
      <c r="J72" s="4" t="s">
        <v>15</v>
      </c>
    </row>
    <row r="73" spans="1:10" ht="15.6" x14ac:dyDescent="0.3">
      <c r="A73" s="4" t="s">
        <v>135</v>
      </c>
      <c r="B73" s="4" t="s">
        <v>177</v>
      </c>
      <c r="C73" s="4">
        <f t="shared" si="1"/>
        <v>2017</v>
      </c>
      <c r="D73" s="4">
        <f>MONTH(Table2[[#This Row],[Purchase Date]])</f>
        <v>12</v>
      </c>
      <c r="E73" s="5">
        <v>43075</v>
      </c>
      <c r="F73" s="4" t="s">
        <v>12</v>
      </c>
      <c r="G73" s="6">
        <v>1477.06</v>
      </c>
      <c r="H73" s="4" t="s">
        <v>19</v>
      </c>
      <c r="I73" s="4" t="s">
        <v>32</v>
      </c>
      <c r="J73" s="4" t="s">
        <v>21</v>
      </c>
    </row>
    <row r="74" spans="1:10" ht="15.6" x14ac:dyDescent="0.3">
      <c r="A74" s="4" t="s">
        <v>178</v>
      </c>
      <c r="B74" s="4" t="s">
        <v>179</v>
      </c>
      <c r="C74" s="4">
        <f t="shared" si="1"/>
        <v>2017</v>
      </c>
      <c r="D74" s="4">
        <f>MONTH(Table2[[#This Row],[Purchase Date]])</f>
        <v>12</v>
      </c>
      <c r="E74" s="5">
        <v>43088</v>
      </c>
      <c r="F74" s="4" t="s">
        <v>69</v>
      </c>
      <c r="G74" s="6">
        <v>674.37</v>
      </c>
      <c r="H74" s="4" t="s">
        <v>13</v>
      </c>
      <c r="I74" s="4" t="s">
        <v>25</v>
      </c>
      <c r="J74" s="4" t="s">
        <v>29</v>
      </c>
    </row>
    <row r="75" spans="1:10" ht="15.6" x14ac:dyDescent="0.3">
      <c r="A75" s="4" t="s">
        <v>180</v>
      </c>
      <c r="B75" s="4" t="s">
        <v>181</v>
      </c>
      <c r="C75" s="4">
        <f t="shared" si="1"/>
        <v>2017</v>
      </c>
      <c r="D75" s="4">
        <f>MONTH(Table2[[#This Row],[Purchase Date]])</f>
        <v>12</v>
      </c>
      <c r="E75" s="5">
        <v>43089</v>
      </c>
      <c r="F75" s="4" t="s">
        <v>69</v>
      </c>
      <c r="G75" s="6">
        <v>1918.59</v>
      </c>
      <c r="H75" s="4" t="s">
        <v>46</v>
      </c>
      <c r="I75" s="4" t="s">
        <v>47</v>
      </c>
      <c r="J75" s="4" t="s">
        <v>29</v>
      </c>
    </row>
    <row r="76" spans="1:10" ht="15.6" x14ac:dyDescent="0.3">
      <c r="A76" s="4" t="s">
        <v>182</v>
      </c>
      <c r="B76" s="4" t="s">
        <v>183</v>
      </c>
      <c r="C76" s="4">
        <f t="shared" si="1"/>
        <v>2017</v>
      </c>
      <c r="D76" s="4">
        <f>MONTH(Table2[[#This Row],[Purchase Date]])</f>
        <v>12</v>
      </c>
      <c r="E76" s="5">
        <v>43095</v>
      </c>
      <c r="F76" s="4" t="s">
        <v>87</v>
      </c>
      <c r="G76" s="6">
        <v>1932.32</v>
      </c>
      <c r="H76" s="4" t="s">
        <v>46</v>
      </c>
      <c r="I76" s="4" t="s">
        <v>36</v>
      </c>
      <c r="J76" s="4" t="s">
        <v>21</v>
      </c>
    </row>
    <row r="77" spans="1:10" ht="15.6" x14ac:dyDescent="0.3">
      <c r="A77" s="4" t="s">
        <v>184</v>
      </c>
      <c r="B77" s="4" t="s">
        <v>185</v>
      </c>
      <c r="C77" s="4">
        <f t="shared" si="1"/>
        <v>2018</v>
      </c>
      <c r="D77" s="4">
        <f>MONTH(Table2[[#This Row],[Purchase Date]])</f>
        <v>1</v>
      </c>
      <c r="E77" s="5">
        <v>43122</v>
      </c>
      <c r="F77" s="4" t="s">
        <v>18</v>
      </c>
      <c r="G77" s="6">
        <v>652.52</v>
      </c>
      <c r="H77" s="4" t="s">
        <v>46</v>
      </c>
      <c r="I77" s="4" t="s">
        <v>14</v>
      </c>
      <c r="J77" s="4" t="s">
        <v>15</v>
      </c>
    </row>
    <row r="78" spans="1:10" ht="15.6" x14ac:dyDescent="0.3">
      <c r="A78" s="4" t="s">
        <v>186</v>
      </c>
      <c r="B78" s="4" t="s">
        <v>187</v>
      </c>
      <c r="C78" s="4">
        <f t="shared" si="1"/>
        <v>2018</v>
      </c>
      <c r="D78" s="4">
        <f>MONTH(Table2[[#This Row],[Purchase Date]])</f>
        <v>2</v>
      </c>
      <c r="E78" s="5">
        <v>43153</v>
      </c>
      <c r="F78" s="4" t="s">
        <v>35</v>
      </c>
      <c r="G78" s="6">
        <v>1096.1600000000001</v>
      </c>
      <c r="H78" s="4" t="s">
        <v>19</v>
      </c>
      <c r="I78" s="4" t="s">
        <v>14</v>
      </c>
      <c r="J78" s="4" t="s">
        <v>21</v>
      </c>
    </row>
    <row r="79" spans="1:10" ht="15.6" x14ac:dyDescent="0.3">
      <c r="A79" s="4" t="s">
        <v>188</v>
      </c>
      <c r="B79" s="4" t="s">
        <v>189</v>
      </c>
      <c r="C79" s="4">
        <f t="shared" si="1"/>
        <v>2018</v>
      </c>
      <c r="D79" s="4">
        <f>MONTH(Table2[[#This Row],[Purchase Date]])</f>
        <v>2</v>
      </c>
      <c r="E79" s="5">
        <v>43154</v>
      </c>
      <c r="F79" s="4" t="s">
        <v>18</v>
      </c>
      <c r="G79" s="6">
        <v>425.99</v>
      </c>
      <c r="H79" s="4" t="s">
        <v>19</v>
      </c>
      <c r="I79" s="4" t="s">
        <v>53</v>
      </c>
      <c r="J79" s="4" t="s">
        <v>15</v>
      </c>
    </row>
    <row r="80" spans="1:10" ht="15.6" x14ac:dyDescent="0.3">
      <c r="A80" s="4" t="s">
        <v>190</v>
      </c>
      <c r="B80" s="4" t="s">
        <v>191</v>
      </c>
      <c r="C80" s="4">
        <f t="shared" si="1"/>
        <v>2018</v>
      </c>
      <c r="D80" s="4">
        <f>MONTH(Table2[[#This Row],[Purchase Date]])</f>
        <v>2</v>
      </c>
      <c r="E80" s="5">
        <v>43156</v>
      </c>
      <c r="F80" s="4" t="s">
        <v>35</v>
      </c>
      <c r="G80" s="6">
        <v>1094.8399999999999</v>
      </c>
      <c r="H80" s="4" t="s">
        <v>46</v>
      </c>
      <c r="I80" s="4" t="s">
        <v>47</v>
      </c>
      <c r="J80" s="4" t="s">
        <v>29</v>
      </c>
    </row>
    <row r="81" spans="1:10" ht="15.6" x14ac:dyDescent="0.3">
      <c r="A81" s="4" t="s">
        <v>192</v>
      </c>
      <c r="B81" s="4" t="s">
        <v>193</v>
      </c>
      <c r="C81" s="4">
        <f t="shared" si="1"/>
        <v>2018</v>
      </c>
      <c r="D81" s="4">
        <f>MONTH(Table2[[#This Row],[Purchase Date]])</f>
        <v>3</v>
      </c>
      <c r="E81" s="5">
        <v>43183</v>
      </c>
      <c r="F81" s="4" t="s">
        <v>18</v>
      </c>
      <c r="G81" s="6">
        <v>1662.67</v>
      </c>
      <c r="H81" s="4" t="s">
        <v>46</v>
      </c>
      <c r="I81" s="4" t="s">
        <v>32</v>
      </c>
      <c r="J81" s="4" t="s">
        <v>21</v>
      </c>
    </row>
    <row r="82" spans="1:10" ht="15.6" x14ac:dyDescent="0.3">
      <c r="A82" s="4" t="s">
        <v>194</v>
      </c>
      <c r="B82" s="4" t="s">
        <v>195</v>
      </c>
      <c r="C82" s="4">
        <f t="shared" si="1"/>
        <v>2018</v>
      </c>
      <c r="D82" s="4">
        <f>MONTH(Table2[[#This Row],[Purchase Date]])</f>
        <v>5</v>
      </c>
      <c r="E82" s="5">
        <v>43226</v>
      </c>
      <c r="F82" s="4" t="s">
        <v>12</v>
      </c>
      <c r="G82" s="6">
        <v>1246.83</v>
      </c>
      <c r="H82" s="4" t="s">
        <v>19</v>
      </c>
      <c r="I82" s="4" t="s">
        <v>39</v>
      </c>
      <c r="J82" s="4" t="s">
        <v>29</v>
      </c>
    </row>
    <row r="83" spans="1:10" ht="15.6" x14ac:dyDescent="0.3">
      <c r="A83" s="4" t="s">
        <v>196</v>
      </c>
      <c r="B83" s="4" t="s">
        <v>197</v>
      </c>
      <c r="C83" s="4">
        <f t="shared" si="1"/>
        <v>2018</v>
      </c>
      <c r="D83" s="4">
        <f>MONTH(Table2[[#This Row],[Purchase Date]])</f>
        <v>9</v>
      </c>
      <c r="E83" s="5">
        <v>43345</v>
      </c>
      <c r="F83" s="4" t="s">
        <v>87</v>
      </c>
      <c r="G83" s="6">
        <v>1857.16</v>
      </c>
      <c r="H83" s="4" t="s">
        <v>46</v>
      </c>
      <c r="I83" s="4" t="s">
        <v>14</v>
      </c>
      <c r="J83" s="4" t="s">
        <v>15</v>
      </c>
    </row>
    <row r="84" spans="1:10" ht="15.6" x14ac:dyDescent="0.3">
      <c r="A84" s="4" t="s">
        <v>198</v>
      </c>
      <c r="B84" s="4" t="s">
        <v>199</v>
      </c>
      <c r="C84" s="4">
        <f t="shared" si="1"/>
        <v>2018</v>
      </c>
      <c r="D84" s="4">
        <f>MONTH(Table2[[#This Row],[Purchase Date]])</f>
        <v>9</v>
      </c>
      <c r="E84" s="5">
        <v>43354</v>
      </c>
      <c r="F84" s="4" t="s">
        <v>18</v>
      </c>
      <c r="G84" s="6">
        <v>1444.23</v>
      </c>
      <c r="H84" s="4" t="s">
        <v>19</v>
      </c>
      <c r="I84" s="4" t="s">
        <v>32</v>
      </c>
      <c r="J84" s="4" t="s">
        <v>15</v>
      </c>
    </row>
    <row r="85" spans="1:10" ht="15.6" x14ac:dyDescent="0.3">
      <c r="A85" s="4" t="s">
        <v>200</v>
      </c>
      <c r="B85" s="4" t="s">
        <v>201</v>
      </c>
      <c r="C85" s="4">
        <f t="shared" si="1"/>
        <v>2018</v>
      </c>
      <c r="D85" s="4">
        <f>MONTH(Table2[[#This Row],[Purchase Date]])</f>
        <v>9</v>
      </c>
      <c r="E85" s="5">
        <v>43362</v>
      </c>
      <c r="F85" s="4" t="s">
        <v>28</v>
      </c>
      <c r="G85" s="6">
        <v>687.71</v>
      </c>
      <c r="H85" s="4" t="s">
        <v>46</v>
      </c>
      <c r="I85" s="4" t="s">
        <v>32</v>
      </c>
      <c r="J85" s="4" t="s">
        <v>15</v>
      </c>
    </row>
    <row r="86" spans="1:10" ht="15.6" x14ac:dyDescent="0.3">
      <c r="A86" s="4" t="s">
        <v>202</v>
      </c>
      <c r="B86" s="4" t="s">
        <v>203</v>
      </c>
      <c r="C86" s="4">
        <f t="shared" si="1"/>
        <v>2018</v>
      </c>
      <c r="D86" s="4">
        <f>MONTH(Table2[[#This Row],[Purchase Date]])</f>
        <v>10</v>
      </c>
      <c r="E86" s="5">
        <v>43387</v>
      </c>
      <c r="F86" s="4" t="s">
        <v>18</v>
      </c>
      <c r="G86" s="6">
        <v>1001.36</v>
      </c>
      <c r="H86" s="4" t="s">
        <v>46</v>
      </c>
      <c r="I86" s="4" t="s">
        <v>14</v>
      </c>
      <c r="J86" s="4" t="s">
        <v>15</v>
      </c>
    </row>
    <row r="87" spans="1:10" ht="15.6" x14ac:dyDescent="0.3">
      <c r="A87" s="4" t="s">
        <v>204</v>
      </c>
      <c r="B87" s="4" t="s">
        <v>205</v>
      </c>
      <c r="C87" s="4">
        <f t="shared" si="1"/>
        <v>2018</v>
      </c>
      <c r="D87" s="4">
        <f>MONTH(Table2[[#This Row],[Purchase Date]])</f>
        <v>10</v>
      </c>
      <c r="E87" s="5">
        <v>43395</v>
      </c>
      <c r="F87" s="4" t="s">
        <v>35</v>
      </c>
      <c r="G87" s="6">
        <v>1663.19</v>
      </c>
      <c r="H87" s="4" t="s">
        <v>13</v>
      </c>
      <c r="I87" s="4" t="s">
        <v>106</v>
      </c>
      <c r="J87" s="4" t="s">
        <v>15</v>
      </c>
    </row>
    <row r="88" spans="1:10" ht="15.6" x14ac:dyDescent="0.3">
      <c r="A88" s="4" t="s">
        <v>206</v>
      </c>
      <c r="B88" s="4" t="s">
        <v>207</v>
      </c>
      <c r="C88" s="4">
        <f t="shared" si="1"/>
        <v>2018</v>
      </c>
      <c r="D88" s="4">
        <f>MONTH(Table2[[#This Row],[Purchase Date]])</f>
        <v>11</v>
      </c>
      <c r="E88" s="5">
        <v>43416</v>
      </c>
      <c r="F88" s="4" t="s">
        <v>18</v>
      </c>
      <c r="G88" s="6">
        <v>71.400000000000006</v>
      </c>
      <c r="H88" s="4" t="s">
        <v>46</v>
      </c>
      <c r="I88" s="4" t="s">
        <v>20</v>
      </c>
      <c r="J88" s="4" t="s">
        <v>15</v>
      </c>
    </row>
    <row r="89" spans="1:10" ht="15.6" x14ac:dyDescent="0.3">
      <c r="A89" s="4" t="s">
        <v>208</v>
      </c>
      <c r="B89" s="4" t="s">
        <v>209</v>
      </c>
      <c r="C89" s="4">
        <f t="shared" si="1"/>
        <v>2018</v>
      </c>
      <c r="D89" s="4">
        <f>MONTH(Table2[[#This Row],[Purchase Date]])</f>
        <v>11</v>
      </c>
      <c r="E89" s="5">
        <v>43422</v>
      </c>
      <c r="F89" s="4" t="s">
        <v>80</v>
      </c>
      <c r="G89" s="6">
        <v>1590.62</v>
      </c>
      <c r="H89" s="4" t="s">
        <v>19</v>
      </c>
      <c r="I89" s="4" t="s">
        <v>106</v>
      </c>
      <c r="J89" s="4" t="s">
        <v>21</v>
      </c>
    </row>
    <row r="90" spans="1:10" ht="15.6" x14ac:dyDescent="0.3">
      <c r="A90" s="4" t="s">
        <v>210</v>
      </c>
      <c r="B90" s="4" t="s">
        <v>211</v>
      </c>
      <c r="C90" s="4">
        <f t="shared" si="1"/>
        <v>2018</v>
      </c>
      <c r="D90" s="4">
        <f>MONTH(Table2[[#This Row],[Purchase Date]])</f>
        <v>11</v>
      </c>
      <c r="E90" s="5">
        <v>43431</v>
      </c>
      <c r="F90" s="4" t="s">
        <v>87</v>
      </c>
      <c r="G90" s="6">
        <v>1255.78</v>
      </c>
      <c r="H90" s="4" t="s">
        <v>19</v>
      </c>
      <c r="I90" s="4" t="s">
        <v>25</v>
      </c>
      <c r="J90" s="4" t="s">
        <v>21</v>
      </c>
    </row>
    <row r="91" spans="1:10" ht="15.6" x14ac:dyDescent="0.3">
      <c r="A91" s="4" t="s">
        <v>212</v>
      </c>
      <c r="B91" s="4" t="s">
        <v>213</v>
      </c>
      <c r="C91" s="4">
        <f t="shared" si="1"/>
        <v>2018</v>
      </c>
      <c r="D91" s="4">
        <f>MONTH(Table2[[#This Row],[Purchase Date]])</f>
        <v>12</v>
      </c>
      <c r="E91" s="5">
        <v>43440</v>
      </c>
      <c r="F91" s="4" t="s">
        <v>12</v>
      </c>
      <c r="G91" s="6">
        <v>1153.26</v>
      </c>
      <c r="H91" s="4" t="s">
        <v>46</v>
      </c>
      <c r="I91" s="4" t="s">
        <v>14</v>
      </c>
      <c r="J91" s="4" t="s">
        <v>15</v>
      </c>
    </row>
    <row r="92" spans="1:10" ht="15.6" x14ac:dyDescent="0.3">
      <c r="A92" s="4" t="s">
        <v>214</v>
      </c>
      <c r="B92" s="4" t="s">
        <v>215</v>
      </c>
      <c r="C92" s="4">
        <f t="shared" si="1"/>
        <v>2018</v>
      </c>
      <c r="D92" s="4">
        <f>MONTH(Table2[[#This Row],[Purchase Date]])</f>
        <v>12</v>
      </c>
      <c r="E92" s="5">
        <v>43453</v>
      </c>
      <c r="F92" s="4" t="s">
        <v>80</v>
      </c>
      <c r="G92" s="6">
        <v>1813.62</v>
      </c>
      <c r="H92" s="4" t="s">
        <v>19</v>
      </c>
      <c r="I92" s="4" t="s">
        <v>20</v>
      </c>
      <c r="J92" s="4" t="s">
        <v>29</v>
      </c>
    </row>
    <row r="93" spans="1:10" ht="15.6" x14ac:dyDescent="0.3">
      <c r="A93" s="4" t="s">
        <v>216</v>
      </c>
      <c r="B93" s="4" t="s">
        <v>217</v>
      </c>
      <c r="C93" s="4">
        <f t="shared" si="1"/>
        <v>2019</v>
      </c>
      <c r="D93" s="4">
        <f>MONTH(Table2[[#This Row],[Purchase Date]])</f>
        <v>1</v>
      </c>
      <c r="E93" s="5">
        <v>43474</v>
      </c>
      <c r="F93" s="4" t="s">
        <v>111</v>
      </c>
      <c r="G93" s="6">
        <v>1810.79</v>
      </c>
      <c r="H93" s="4" t="s">
        <v>46</v>
      </c>
      <c r="I93" s="4" t="s">
        <v>36</v>
      </c>
      <c r="J93" s="4" t="s">
        <v>15</v>
      </c>
    </row>
    <row r="94" spans="1:10" ht="15.6" x14ac:dyDescent="0.3">
      <c r="A94" s="4" t="s">
        <v>218</v>
      </c>
      <c r="B94" s="4" t="s">
        <v>219</v>
      </c>
      <c r="C94" s="4">
        <f t="shared" si="1"/>
        <v>2019</v>
      </c>
      <c r="D94" s="4">
        <f>MONTH(Table2[[#This Row],[Purchase Date]])</f>
        <v>2</v>
      </c>
      <c r="E94" s="5">
        <v>43503</v>
      </c>
      <c r="F94" s="4" t="s">
        <v>80</v>
      </c>
      <c r="G94" s="6">
        <v>1928.75</v>
      </c>
      <c r="H94" s="4" t="s">
        <v>46</v>
      </c>
      <c r="I94" s="4" t="s">
        <v>32</v>
      </c>
      <c r="J94" s="4" t="s">
        <v>15</v>
      </c>
    </row>
    <row r="95" spans="1:10" ht="15.6" x14ac:dyDescent="0.3">
      <c r="A95" s="4" t="s">
        <v>220</v>
      </c>
      <c r="B95" s="4" t="s">
        <v>221</v>
      </c>
      <c r="C95" s="4">
        <f t="shared" si="1"/>
        <v>2019</v>
      </c>
      <c r="D95" s="4">
        <f>MONTH(Table2[[#This Row],[Purchase Date]])</f>
        <v>3</v>
      </c>
      <c r="E95" s="5">
        <v>43537</v>
      </c>
      <c r="F95" s="4" t="s">
        <v>69</v>
      </c>
      <c r="G95" s="6">
        <v>508.65</v>
      </c>
      <c r="H95" s="4" t="s">
        <v>19</v>
      </c>
      <c r="I95" s="4" t="s">
        <v>47</v>
      </c>
      <c r="J95" s="4" t="s">
        <v>21</v>
      </c>
    </row>
    <row r="96" spans="1:10" ht="15.6" x14ac:dyDescent="0.3">
      <c r="A96" s="4" t="s">
        <v>222</v>
      </c>
      <c r="B96" s="4" t="s">
        <v>223</v>
      </c>
      <c r="C96" s="4">
        <f t="shared" si="1"/>
        <v>2019</v>
      </c>
      <c r="D96" s="4">
        <f>MONTH(Table2[[#This Row],[Purchase Date]])</f>
        <v>4</v>
      </c>
      <c r="E96" s="5">
        <v>43581</v>
      </c>
      <c r="F96" s="4" t="s">
        <v>69</v>
      </c>
      <c r="G96" s="6">
        <v>179.31</v>
      </c>
      <c r="H96" s="4" t="s">
        <v>13</v>
      </c>
      <c r="I96" s="4" t="s">
        <v>53</v>
      </c>
      <c r="J96" s="4" t="s">
        <v>29</v>
      </c>
    </row>
    <row r="97" spans="1:10" ht="15.6" x14ac:dyDescent="0.3">
      <c r="A97" s="4" t="s">
        <v>224</v>
      </c>
      <c r="B97" s="4" t="s">
        <v>225</v>
      </c>
      <c r="C97" s="4">
        <f t="shared" si="1"/>
        <v>2019</v>
      </c>
      <c r="D97" s="4">
        <f>MONTH(Table2[[#This Row],[Purchase Date]])</f>
        <v>4</v>
      </c>
      <c r="E97" s="5">
        <v>43585</v>
      </c>
      <c r="F97" s="4" t="s">
        <v>24</v>
      </c>
      <c r="G97" s="6">
        <v>664.17</v>
      </c>
      <c r="H97" s="4" t="s">
        <v>46</v>
      </c>
      <c r="I97" s="4" t="s">
        <v>36</v>
      </c>
      <c r="J97" s="4" t="s">
        <v>15</v>
      </c>
    </row>
    <row r="98" spans="1:10" ht="15.6" x14ac:dyDescent="0.3">
      <c r="A98" s="4" t="s">
        <v>226</v>
      </c>
      <c r="B98" s="4" t="s">
        <v>227</v>
      </c>
      <c r="C98" s="4">
        <f t="shared" si="1"/>
        <v>2019</v>
      </c>
      <c r="D98" s="4">
        <f>MONTH(Table2[[#This Row],[Purchase Date]])</f>
        <v>6</v>
      </c>
      <c r="E98" s="5">
        <v>43618</v>
      </c>
      <c r="F98" s="4" t="s">
        <v>35</v>
      </c>
      <c r="G98" s="6">
        <v>1864.77</v>
      </c>
      <c r="H98" s="4" t="s">
        <v>19</v>
      </c>
      <c r="I98" s="4" t="s">
        <v>47</v>
      </c>
      <c r="J98" s="4" t="s">
        <v>15</v>
      </c>
    </row>
    <row r="99" spans="1:10" ht="15.6" x14ac:dyDescent="0.3">
      <c r="A99" s="4" t="s">
        <v>228</v>
      </c>
      <c r="B99" s="4" t="s">
        <v>229</v>
      </c>
      <c r="C99" s="4">
        <f t="shared" si="1"/>
        <v>2019</v>
      </c>
      <c r="D99" s="4">
        <f>MONTH(Table2[[#This Row],[Purchase Date]])</f>
        <v>6</v>
      </c>
      <c r="E99" s="5">
        <v>43644</v>
      </c>
      <c r="F99" s="4" t="s">
        <v>18</v>
      </c>
      <c r="G99" s="6">
        <v>1592.57</v>
      </c>
      <c r="H99" s="4" t="s">
        <v>19</v>
      </c>
      <c r="I99" s="4" t="s">
        <v>106</v>
      </c>
      <c r="J99" s="4" t="s">
        <v>15</v>
      </c>
    </row>
    <row r="100" spans="1:10" ht="15.6" x14ac:dyDescent="0.3">
      <c r="A100" s="4" t="s">
        <v>230</v>
      </c>
      <c r="B100" s="4" t="s">
        <v>231</v>
      </c>
      <c r="C100" s="4">
        <f t="shared" si="1"/>
        <v>2019</v>
      </c>
      <c r="D100" s="4">
        <f>MONTH(Table2[[#This Row],[Purchase Date]])</f>
        <v>6</v>
      </c>
      <c r="E100" s="5">
        <v>43645</v>
      </c>
      <c r="F100" s="4" t="s">
        <v>35</v>
      </c>
      <c r="G100" s="6">
        <v>537.16999999999996</v>
      </c>
      <c r="H100" s="4" t="s">
        <v>19</v>
      </c>
      <c r="I100" s="4" t="s">
        <v>106</v>
      </c>
      <c r="J100" s="4" t="s">
        <v>21</v>
      </c>
    </row>
    <row r="101" spans="1:10" ht="15.6" x14ac:dyDescent="0.3">
      <c r="A101" s="4" t="s">
        <v>232</v>
      </c>
      <c r="B101" s="4" t="s">
        <v>233</v>
      </c>
      <c r="C101" s="4">
        <f t="shared" si="1"/>
        <v>2019</v>
      </c>
      <c r="D101" s="4">
        <f>MONTH(Table2[[#This Row],[Purchase Date]])</f>
        <v>7</v>
      </c>
      <c r="E101" s="5">
        <v>43658</v>
      </c>
      <c r="F101" s="4" t="s">
        <v>80</v>
      </c>
      <c r="G101" s="6">
        <v>1849.08</v>
      </c>
      <c r="H101" s="4" t="s">
        <v>46</v>
      </c>
      <c r="I101" s="4" t="s">
        <v>32</v>
      </c>
      <c r="J101" s="4" t="s">
        <v>15</v>
      </c>
    </row>
    <row r="102" spans="1:10" ht="15.6" x14ac:dyDescent="0.3">
      <c r="A102" s="4" t="s">
        <v>234</v>
      </c>
      <c r="B102" s="4" t="s">
        <v>235</v>
      </c>
      <c r="C102" s="4">
        <f t="shared" si="1"/>
        <v>2019</v>
      </c>
      <c r="D102" s="4">
        <f>MONTH(Table2[[#This Row],[Purchase Date]])</f>
        <v>7</v>
      </c>
      <c r="E102" s="5">
        <v>43658</v>
      </c>
      <c r="F102" s="4" t="s">
        <v>28</v>
      </c>
      <c r="G102" s="6">
        <v>483.68</v>
      </c>
      <c r="H102" s="4" t="s">
        <v>19</v>
      </c>
      <c r="I102" s="4" t="s">
        <v>64</v>
      </c>
      <c r="J102" s="4" t="s">
        <v>21</v>
      </c>
    </row>
    <row r="103" spans="1:10" ht="15.6" x14ac:dyDescent="0.3">
      <c r="A103" s="4" t="s">
        <v>236</v>
      </c>
      <c r="B103" s="4" t="s">
        <v>237</v>
      </c>
      <c r="C103" s="4">
        <f t="shared" si="1"/>
        <v>2019</v>
      </c>
      <c r="D103" s="4">
        <f>MONTH(Table2[[#This Row],[Purchase Date]])</f>
        <v>7</v>
      </c>
      <c r="E103" s="5">
        <v>43662</v>
      </c>
      <c r="F103" s="4" t="s">
        <v>18</v>
      </c>
      <c r="G103" s="6">
        <v>1136.05</v>
      </c>
      <c r="H103" s="4" t="s">
        <v>13</v>
      </c>
      <c r="I103" s="4" t="s">
        <v>39</v>
      </c>
      <c r="J103" s="4" t="s">
        <v>15</v>
      </c>
    </row>
    <row r="104" spans="1:10" ht="15.6" x14ac:dyDescent="0.3">
      <c r="A104" s="4" t="s">
        <v>238</v>
      </c>
      <c r="B104" s="4" t="s">
        <v>239</v>
      </c>
      <c r="C104" s="4">
        <f t="shared" si="1"/>
        <v>2019</v>
      </c>
      <c r="D104" s="4">
        <f>MONTH(Table2[[#This Row],[Purchase Date]])</f>
        <v>7</v>
      </c>
      <c r="E104" s="5">
        <v>43671</v>
      </c>
      <c r="F104" s="4" t="s">
        <v>35</v>
      </c>
      <c r="G104" s="6">
        <v>1228.1300000000001</v>
      </c>
      <c r="H104" s="4" t="s">
        <v>46</v>
      </c>
      <c r="I104" s="4" t="s">
        <v>64</v>
      </c>
      <c r="J104" s="4" t="s">
        <v>15</v>
      </c>
    </row>
    <row r="105" spans="1:10" ht="15.6" x14ac:dyDescent="0.3">
      <c r="A105" s="4" t="s">
        <v>240</v>
      </c>
      <c r="B105" s="4" t="s">
        <v>241</v>
      </c>
      <c r="C105" s="4">
        <f t="shared" si="1"/>
        <v>2019</v>
      </c>
      <c r="D105" s="4">
        <f>MONTH(Table2[[#This Row],[Purchase Date]])</f>
        <v>7</v>
      </c>
      <c r="E105" s="5">
        <v>43673</v>
      </c>
      <c r="F105" s="4" t="s">
        <v>18</v>
      </c>
      <c r="G105" s="6">
        <v>224.47</v>
      </c>
      <c r="H105" s="4" t="s">
        <v>13</v>
      </c>
      <c r="I105" s="4" t="s">
        <v>53</v>
      </c>
      <c r="J105" s="4" t="s">
        <v>29</v>
      </c>
    </row>
    <row r="106" spans="1:10" ht="15.6" x14ac:dyDescent="0.3">
      <c r="A106" s="4" t="s">
        <v>242</v>
      </c>
      <c r="B106" s="4" t="s">
        <v>243</v>
      </c>
      <c r="C106" s="4">
        <f t="shared" si="1"/>
        <v>2019</v>
      </c>
      <c r="D106" s="4">
        <f>MONTH(Table2[[#This Row],[Purchase Date]])</f>
        <v>7</v>
      </c>
      <c r="E106" s="5">
        <v>43674</v>
      </c>
      <c r="F106" s="4" t="s">
        <v>69</v>
      </c>
      <c r="G106" s="6">
        <v>387.65</v>
      </c>
      <c r="H106" s="4" t="s">
        <v>13</v>
      </c>
      <c r="I106" s="4" t="s">
        <v>47</v>
      </c>
      <c r="J106" s="4" t="s">
        <v>15</v>
      </c>
    </row>
    <row r="107" spans="1:10" ht="15.6" x14ac:dyDescent="0.3">
      <c r="A107" s="4" t="s">
        <v>244</v>
      </c>
      <c r="B107" s="4" t="s">
        <v>245</v>
      </c>
      <c r="C107" s="4">
        <f t="shared" si="1"/>
        <v>2019</v>
      </c>
      <c r="D107" s="4">
        <f>MONTH(Table2[[#This Row],[Purchase Date]])</f>
        <v>8</v>
      </c>
      <c r="E107" s="5">
        <v>43704</v>
      </c>
      <c r="F107" s="4" t="s">
        <v>18</v>
      </c>
      <c r="G107" s="6">
        <v>1191.67</v>
      </c>
      <c r="H107" s="4" t="s">
        <v>46</v>
      </c>
      <c r="I107" s="4" t="s">
        <v>36</v>
      </c>
      <c r="J107" s="4" t="s">
        <v>21</v>
      </c>
    </row>
    <row r="108" spans="1:10" ht="15.6" x14ac:dyDescent="0.3">
      <c r="A108" s="4" t="s">
        <v>246</v>
      </c>
      <c r="B108" s="4" t="s">
        <v>247</v>
      </c>
      <c r="C108" s="4">
        <f t="shared" si="1"/>
        <v>2019</v>
      </c>
      <c r="D108" s="4">
        <f>MONTH(Table2[[#This Row],[Purchase Date]])</f>
        <v>10</v>
      </c>
      <c r="E108" s="5">
        <v>43744</v>
      </c>
      <c r="F108" s="4" t="s">
        <v>69</v>
      </c>
      <c r="G108" s="6">
        <v>1678.63</v>
      </c>
      <c r="H108" s="4" t="s">
        <v>46</v>
      </c>
      <c r="I108" s="4" t="s">
        <v>25</v>
      </c>
      <c r="J108" s="4" t="s">
        <v>29</v>
      </c>
    </row>
    <row r="109" spans="1:10" ht="15.6" x14ac:dyDescent="0.3">
      <c r="A109" s="4" t="s">
        <v>248</v>
      </c>
      <c r="B109" s="4" t="s">
        <v>249</v>
      </c>
      <c r="C109" s="4">
        <f t="shared" si="1"/>
        <v>2019</v>
      </c>
      <c r="D109" s="4">
        <f>MONTH(Table2[[#This Row],[Purchase Date]])</f>
        <v>10</v>
      </c>
      <c r="E109" s="5">
        <v>43748</v>
      </c>
      <c r="F109" s="4" t="s">
        <v>18</v>
      </c>
      <c r="G109" s="6">
        <v>1687.38</v>
      </c>
      <c r="H109" s="4" t="s">
        <v>46</v>
      </c>
      <c r="I109" s="4" t="s">
        <v>53</v>
      </c>
      <c r="J109" s="4" t="s">
        <v>21</v>
      </c>
    </row>
    <row r="110" spans="1:10" ht="15.6" x14ac:dyDescent="0.3">
      <c r="A110" s="4" t="s">
        <v>250</v>
      </c>
      <c r="B110" s="4" t="s">
        <v>251</v>
      </c>
      <c r="C110" s="4">
        <f t="shared" si="1"/>
        <v>2019</v>
      </c>
      <c r="D110" s="4">
        <f>MONTH(Table2[[#This Row],[Purchase Date]])</f>
        <v>10</v>
      </c>
      <c r="E110" s="5">
        <v>43758</v>
      </c>
      <c r="F110" s="4" t="s">
        <v>24</v>
      </c>
      <c r="G110" s="6">
        <v>964.84</v>
      </c>
      <c r="H110" s="4" t="s">
        <v>46</v>
      </c>
      <c r="I110" s="4" t="s">
        <v>39</v>
      </c>
      <c r="J110" s="4" t="s">
        <v>21</v>
      </c>
    </row>
    <row r="111" spans="1:10" ht="15.6" x14ac:dyDescent="0.3">
      <c r="A111" s="4" t="s">
        <v>252</v>
      </c>
      <c r="B111" s="4" t="s">
        <v>253</v>
      </c>
      <c r="C111" s="4">
        <f t="shared" si="1"/>
        <v>2019</v>
      </c>
      <c r="D111" s="4">
        <f>MONTH(Table2[[#This Row],[Purchase Date]])</f>
        <v>10</v>
      </c>
      <c r="E111" s="5">
        <v>43760</v>
      </c>
      <c r="F111" s="4" t="s">
        <v>111</v>
      </c>
      <c r="G111" s="6">
        <v>662.86</v>
      </c>
      <c r="H111" s="4" t="s">
        <v>19</v>
      </c>
      <c r="I111" s="4" t="s">
        <v>106</v>
      </c>
      <c r="J111" s="4" t="s">
        <v>15</v>
      </c>
    </row>
    <row r="112" spans="1:10" ht="15.6" x14ac:dyDescent="0.3">
      <c r="A112" s="4" t="s">
        <v>254</v>
      </c>
      <c r="B112" s="4" t="s">
        <v>255</v>
      </c>
      <c r="C112" s="4">
        <f t="shared" si="1"/>
        <v>2019</v>
      </c>
      <c r="D112" s="4">
        <f>MONTH(Table2[[#This Row],[Purchase Date]])</f>
        <v>10</v>
      </c>
      <c r="E112" s="5">
        <v>43761</v>
      </c>
      <c r="F112" s="4" t="s">
        <v>18</v>
      </c>
      <c r="G112" s="6">
        <v>828.79</v>
      </c>
      <c r="H112" s="4" t="s">
        <v>46</v>
      </c>
      <c r="I112" s="4" t="s">
        <v>25</v>
      </c>
      <c r="J112" s="4" t="s">
        <v>29</v>
      </c>
    </row>
    <row r="113" spans="1:10" ht="15.6" x14ac:dyDescent="0.3">
      <c r="A113" s="4" t="s">
        <v>256</v>
      </c>
      <c r="B113" s="4" t="s">
        <v>257</v>
      </c>
      <c r="C113" s="4">
        <f t="shared" si="1"/>
        <v>2019</v>
      </c>
      <c r="D113" s="4">
        <f>MONTH(Table2[[#This Row],[Purchase Date]])</f>
        <v>10</v>
      </c>
      <c r="E113" s="5">
        <v>43762</v>
      </c>
      <c r="F113" s="4" t="s">
        <v>80</v>
      </c>
      <c r="G113" s="6">
        <v>1542.74</v>
      </c>
      <c r="H113" s="4" t="s">
        <v>46</v>
      </c>
      <c r="I113" s="4" t="s">
        <v>39</v>
      </c>
      <c r="J113" s="4" t="s">
        <v>21</v>
      </c>
    </row>
    <row r="114" spans="1:10" ht="15.6" x14ac:dyDescent="0.3">
      <c r="A114" s="4" t="s">
        <v>258</v>
      </c>
      <c r="B114" s="4" t="s">
        <v>259</v>
      </c>
      <c r="C114" s="4">
        <f t="shared" si="1"/>
        <v>2019</v>
      </c>
      <c r="D114" s="4">
        <f>MONTH(Table2[[#This Row],[Purchase Date]])</f>
        <v>10</v>
      </c>
      <c r="E114" s="5">
        <v>43762</v>
      </c>
      <c r="F114" s="4" t="s">
        <v>80</v>
      </c>
      <c r="G114" s="6">
        <v>1653.38</v>
      </c>
      <c r="H114" s="4" t="s">
        <v>13</v>
      </c>
      <c r="I114" s="4" t="s">
        <v>20</v>
      </c>
      <c r="J114" s="4" t="s">
        <v>29</v>
      </c>
    </row>
    <row r="115" spans="1:10" ht="15.6" x14ac:dyDescent="0.3">
      <c r="A115" s="4" t="s">
        <v>260</v>
      </c>
      <c r="B115" s="4" t="s">
        <v>261</v>
      </c>
      <c r="C115" s="4">
        <f t="shared" si="1"/>
        <v>2019</v>
      </c>
      <c r="D115" s="4">
        <f>MONTH(Table2[[#This Row],[Purchase Date]])</f>
        <v>11</v>
      </c>
      <c r="E115" s="5">
        <v>43779</v>
      </c>
      <c r="F115" s="4" t="s">
        <v>35</v>
      </c>
      <c r="G115" s="6">
        <v>739.75</v>
      </c>
      <c r="H115" s="4" t="s">
        <v>13</v>
      </c>
      <c r="I115" s="4" t="s">
        <v>25</v>
      </c>
      <c r="J115" s="4" t="s">
        <v>29</v>
      </c>
    </row>
    <row r="116" spans="1:10" ht="15.6" x14ac:dyDescent="0.3">
      <c r="A116" s="4" t="s">
        <v>262</v>
      </c>
      <c r="B116" s="4" t="s">
        <v>263</v>
      </c>
      <c r="C116" s="4">
        <f t="shared" si="1"/>
        <v>2020</v>
      </c>
      <c r="D116" s="4">
        <f>MONTH(Table2[[#This Row],[Purchase Date]])</f>
        <v>2</v>
      </c>
      <c r="E116" s="5">
        <v>43867</v>
      </c>
      <c r="F116" s="4" t="s">
        <v>80</v>
      </c>
      <c r="G116" s="6">
        <v>680.89</v>
      </c>
      <c r="H116" s="4" t="s">
        <v>19</v>
      </c>
      <c r="I116" s="4" t="s">
        <v>20</v>
      </c>
      <c r="J116" s="4" t="s">
        <v>21</v>
      </c>
    </row>
    <row r="117" spans="1:10" ht="15.6" x14ac:dyDescent="0.3">
      <c r="A117" s="4" t="s">
        <v>264</v>
      </c>
      <c r="B117" s="4" t="s">
        <v>265</v>
      </c>
      <c r="C117" s="4">
        <f t="shared" si="1"/>
        <v>2020</v>
      </c>
      <c r="D117" s="4">
        <f>MONTH(Table2[[#This Row],[Purchase Date]])</f>
        <v>2</v>
      </c>
      <c r="E117" s="5">
        <v>43881</v>
      </c>
      <c r="F117" s="4" t="s">
        <v>111</v>
      </c>
      <c r="G117" s="6">
        <v>826.44</v>
      </c>
      <c r="H117" s="4" t="s">
        <v>46</v>
      </c>
      <c r="I117" s="4" t="s">
        <v>39</v>
      </c>
      <c r="J117" s="4" t="s">
        <v>15</v>
      </c>
    </row>
    <row r="118" spans="1:10" ht="15.6" x14ac:dyDescent="0.3">
      <c r="A118" s="4" t="s">
        <v>266</v>
      </c>
      <c r="B118" s="4" t="s">
        <v>267</v>
      </c>
      <c r="C118" s="4">
        <f t="shared" si="1"/>
        <v>2020</v>
      </c>
      <c r="D118" s="4">
        <f>MONTH(Table2[[#This Row],[Purchase Date]])</f>
        <v>2</v>
      </c>
      <c r="E118" s="5">
        <v>43887</v>
      </c>
      <c r="F118" s="4" t="s">
        <v>111</v>
      </c>
      <c r="G118" s="6">
        <v>1637.88</v>
      </c>
      <c r="H118" s="4" t="s">
        <v>46</v>
      </c>
      <c r="I118" s="4" t="s">
        <v>25</v>
      </c>
      <c r="J118" s="4" t="s">
        <v>29</v>
      </c>
    </row>
    <row r="119" spans="1:10" ht="15.6" x14ac:dyDescent="0.3">
      <c r="A119" s="4" t="s">
        <v>268</v>
      </c>
      <c r="B119" s="4" t="s">
        <v>269</v>
      </c>
      <c r="C119" s="4">
        <f t="shared" si="1"/>
        <v>2020</v>
      </c>
      <c r="D119" s="4">
        <f>MONTH(Table2[[#This Row],[Purchase Date]])</f>
        <v>2</v>
      </c>
      <c r="E119" s="5">
        <v>43887</v>
      </c>
      <c r="F119" s="4" t="s">
        <v>87</v>
      </c>
      <c r="G119" s="6">
        <v>159.91</v>
      </c>
      <c r="H119" s="4" t="s">
        <v>19</v>
      </c>
      <c r="I119" s="4" t="s">
        <v>36</v>
      </c>
      <c r="J119" s="4" t="s">
        <v>29</v>
      </c>
    </row>
    <row r="120" spans="1:10" ht="15.6" x14ac:dyDescent="0.3">
      <c r="A120" s="4" t="s">
        <v>270</v>
      </c>
      <c r="B120" s="4" t="s">
        <v>271</v>
      </c>
      <c r="C120" s="4">
        <f t="shared" si="1"/>
        <v>2020</v>
      </c>
      <c r="D120" s="4">
        <f>MONTH(Table2[[#This Row],[Purchase Date]])</f>
        <v>3</v>
      </c>
      <c r="E120" s="5">
        <v>43902</v>
      </c>
      <c r="F120" s="4" t="s">
        <v>24</v>
      </c>
      <c r="G120" s="6">
        <v>1564.18</v>
      </c>
      <c r="H120" s="4" t="s">
        <v>46</v>
      </c>
      <c r="I120" s="4" t="s">
        <v>36</v>
      </c>
      <c r="J120" s="4" t="s">
        <v>21</v>
      </c>
    </row>
    <row r="121" spans="1:10" ht="15.6" x14ac:dyDescent="0.3">
      <c r="A121" s="4" t="s">
        <v>272</v>
      </c>
      <c r="B121" s="4" t="s">
        <v>273</v>
      </c>
      <c r="C121" s="4">
        <f t="shared" si="1"/>
        <v>2020</v>
      </c>
      <c r="D121" s="4">
        <f>MONTH(Table2[[#This Row],[Purchase Date]])</f>
        <v>3</v>
      </c>
      <c r="E121" s="5">
        <v>43909</v>
      </c>
      <c r="F121" s="4" t="s">
        <v>35</v>
      </c>
      <c r="G121" s="6">
        <v>617.09</v>
      </c>
      <c r="H121" s="4" t="s">
        <v>13</v>
      </c>
      <c r="I121" s="4" t="s">
        <v>20</v>
      </c>
      <c r="J121" s="4" t="s">
        <v>15</v>
      </c>
    </row>
    <row r="122" spans="1:10" ht="15.6" x14ac:dyDescent="0.3">
      <c r="A122" s="4" t="s">
        <v>274</v>
      </c>
      <c r="B122" s="4" t="s">
        <v>275</v>
      </c>
      <c r="C122" s="4">
        <f t="shared" si="1"/>
        <v>2020</v>
      </c>
      <c r="D122" s="4">
        <f>MONTH(Table2[[#This Row],[Purchase Date]])</f>
        <v>3</v>
      </c>
      <c r="E122" s="5">
        <v>43911</v>
      </c>
      <c r="F122" s="4" t="s">
        <v>35</v>
      </c>
      <c r="G122" s="6">
        <v>1555.13</v>
      </c>
      <c r="H122" s="4" t="s">
        <v>19</v>
      </c>
      <c r="I122" s="4" t="s">
        <v>106</v>
      </c>
      <c r="J122" s="4" t="s">
        <v>15</v>
      </c>
    </row>
    <row r="123" spans="1:10" ht="15.6" x14ac:dyDescent="0.3">
      <c r="A123" s="4" t="s">
        <v>276</v>
      </c>
      <c r="B123" s="4" t="s">
        <v>277</v>
      </c>
      <c r="C123" s="4">
        <f t="shared" si="1"/>
        <v>2020</v>
      </c>
      <c r="D123" s="4">
        <f>MONTH(Table2[[#This Row],[Purchase Date]])</f>
        <v>4</v>
      </c>
      <c r="E123" s="5">
        <v>43928</v>
      </c>
      <c r="F123" s="4" t="s">
        <v>12</v>
      </c>
      <c r="G123" s="6">
        <v>1351.69</v>
      </c>
      <c r="H123" s="4" t="s">
        <v>13</v>
      </c>
      <c r="I123" s="4" t="s">
        <v>32</v>
      </c>
      <c r="J123" s="4" t="s">
        <v>21</v>
      </c>
    </row>
    <row r="124" spans="1:10" ht="15.6" x14ac:dyDescent="0.3">
      <c r="A124" s="4" t="s">
        <v>278</v>
      </c>
      <c r="B124" s="4" t="s">
        <v>279</v>
      </c>
      <c r="C124" s="4">
        <f t="shared" si="1"/>
        <v>2020</v>
      </c>
      <c r="D124" s="4">
        <f>MONTH(Table2[[#This Row],[Purchase Date]])</f>
        <v>4</v>
      </c>
      <c r="E124" s="5">
        <v>43930</v>
      </c>
      <c r="F124" s="4" t="s">
        <v>35</v>
      </c>
      <c r="G124" s="6">
        <v>1723.47</v>
      </c>
      <c r="H124" s="4" t="s">
        <v>19</v>
      </c>
      <c r="I124" s="4" t="s">
        <v>39</v>
      </c>
      <c r="J124" s="4" t="s">
        <v>21</v>
      </c>
    </row>
    <row r="125" spans="1:10" ht="15.6" x14ac:dyDescent="0.3">
      <c r="A125" s="4" t="s">
        <v>280</v>
      </c>
      <c r="B125" s="4" t="s">
        <v>281</v>
      </c>
      <c r="C125" s="4">
        <f t="shared" si="1"/>
        <v>2020</v>
      </c>
      <c r="D125" s="4">
        <f>MONTH(Table2[[#This Row],[Purchase Date]])</f>
        <v>4</v>
      </c>
      <c r="E125" s="5">
        <v>43931</v>
      </c>
      <c r="F125" s="4" t="s">
        <v>111</v>
      </c>
      <c r="G125" s="6">
        <v>1603.93</v>
      </c>
      <c r="H125" s="4" t="s">
        <v>13</v>
      </c>
      <c r="I125" s="4" t="s">
        <v>20</v>
      </c>
      <c r="J125" s="4" t="s">
        <v>15</v>
      </c>
    </row>
    <row r="126" spans="1:10" ht="15.6" x14ac:dyDescent="0.3">
      <c r="A126" s="4" t="s">
        <v>282</v>
      </c>
      <c r="B126" s="4" t="s">
        <v>283</v>
      </c>
      <c r="C126" s="4">
        <f t="shared" si="1"/>
        <v>2020</v>
      </c>
      <c r="D126" s="4">
        <f>MONTH(Table2[[#This Row],[Purchase Date]])</f>
        <v>4</v>
      </c>
      <c r="E126" s="5">
        <v>43934</v>
      </c>
      <c r="F126" s="4" t="s">
        <v>87</v>
      </c>
      <c r="G126" s="6">
        <v>1136.43</v>
      </c>
      <c r="H126" s="4" t="s">
        <v>46</v>
      </c>
      <c r="I126" s="4" t="s">
        <v>64</v>
      </c>
      <c r="J126" s="4" t="s">
        <v>21</v>
      </c>
    </row>
    <row r="127" spans="1:10" ht="15.6" x14ac:dyDescent="0.3">
      <c r="A127" s="4" t="s">
        <v>284</v>
      </c>
      <c r="B127" s="4" t="s">
        <v>285</v>
      </c>
      <c r="C127" s="4">
        <f t="shared" si="1"/>
        <v>2020</v>
      </c>
      <c r="D127" s="4">
        <f>MONTH(Table2[[#This Row],[Purchase Date]])</f>
        <v>4</v>
      </c>
      <c r="E127" s="5">
        <v>43935</v>
      </c>
      <c r="F127" s="4" t="s">
        <v>69</v>
      </c>
      <c r="G127" s="6">
        <v>946.58</v>
      </c>
      <c r="H127" s="4" t="s">
        <v>46</v>
      </c>
      <c r="I127" s="4" t="s">
        <v>106</v>
      </c>
      <c r="J127" s="4" t="s">
        <v>21</v>
      </c>
    </row>
    <row r="128" spans="1:10" ht="15.6" x14ac:dyDescent="0.3">
      <c r="A128" s="4" t="s">
        <v>286</v>
      </c>
      <c r="B128" s="4" t="s">
        <v>287</v>
      </c>
      <c r="C128" s="4">
        <f t="shared" si="1"/>
        <v>2020</v>
      </c>
      <c r="D128" s="4">
        <f>MONTH(Table2[[#This Row],[Purchase Date]])</f>
        <v>6</v>
      </c>
      <c r="E128" s="5">
        <v>43996</v>
      </c>
      <c r="F128" s="4" t="s">
        <v>24</v>
      </c>
      <c r="G128" s="6">
        <v>1858.51</v>
      </c>
      <c r="H128" s="4" t="s">
        <v>13</v>
      </c>
      <c r="I128" s="4" t="s">
        <v>36</v>
      </c>
      <c r="J128" s="4" t="s">
        <v>29</v>
      </c>
    </row>
    <row r="129" spans="1:10" ht="15.6" x14ac:dyDescent="0.3">
      <c r="A129" s="4" t="s">
        <v>286</v>
      </c>
      <c r="B129" s="4" t="s">
        <v>288</v>
      </c>
      <c r="C129" s="4">
        <f t="shared" si="1"/>
        <v>2020</v>
      </c>
      <c r="D129" s="4">
        <f>MONTH(Table2[[#This Row],[Purchase Date]])</f>
        <v>6</v>
      </c>
      <c r="E129" s="5">
        <v>43996</v>
      </c>
      <c r="F129" s="4" t="s">
        <v>35</v>
      </c>
      <c r="G129" s="6">
        <v>151.72999999999999</v>
      </c>
      <c r="H129" s="4" t="s">
        <v>19</v>
      </c>
      <c r="I129" s="4" t="s">
        <v>53</v>
      </c>
      <c r="J129" s="4" t="s">
        <v>21</v>
      </c>
    </row>
    <row r="130" spans="1:10" ht="15.6" x14ac:dyDescent="0.3">
      <c r="A130" s="4" t="s">
        <v>289</v>
      </c>
      <c r="B130" s="4" t="s">
        <v>290</v>
      </c>
      <c r="C130" s="4">
        <f t="shared" si="1"/>
        <v>2020</v>
      </c>
      <c r="D130" s="4">
        <f>MONTH(Table2[[#This Row],[Purchase Date]])</f>
        <v>7</v>
      </c>
      <c r="E130" s="5">
        <v>44018</v>
      </c>
      <c r="F130" s="4" t="s">
        <v>80</v>
      </c>
      <c r="G130" s="6">
        <v>88.27</v>
      </c>
      <c r="H130" s="4" t="s">
        <v>46</v>
      </c>
      <c r="I130" s="4" t="s">
        <v>14</v>
      </c>
      <c r="J130" s="4" t="s">
        <v>21</v>
      </c>
    </row>
    <row r="131" spans="1:10" ht="15.6" x14ac:dyDescent="0.3">
      <c r="A131" s="4" t="s">
        <v>291</v>
      </c>
      <c r="B131" s="4" t="s">
        <v>292</v>
      </c>
      <c r="C131" s="4">
        <f t="shared" ref="C131:C194" si="2">YEAR(E131)</f>
        <v>2020</v>
      </c>
      <c r="D131" s="4">
        <f>MONTH(Table2[[#This Row],[Purchase Date]])</f>
        <v>7</v>
      </c>
      <c r="E131" s="5">
        <v>44020</v>
      </c>
      <c r="F131" s="4" t="s">
        <v>52</v>
      </c>
      <c r="G131" s="6">
        <v>806.94</v>
      </c>
      <c r="H131" s="4" t="s">
        <v>13</v>
      </c>
      <c r="I131" s="4" t="s">
        <v>20</v>
      </c>
      <c r="J131" s="4" t="s">
        <v>15</v>
      </c>
    </row>
    <row r="132" spans="1:10" ht="15.6" x14ac:dyDescent="0.3">
      <c r="A132" s="4" t="s">
        <v>293</v>
      </c>
      <c r="B132" s="4" t="s">
        <v>294</v>
      </c>
      <c r="C132" s="4">
        <f t="shared" si="2"/>
        <v>2020</v>
      </c>
      <c r="D132" s="4">
        <f>MONTH(Table2[[#This Row],[Purchase Date]])</f>
        <v>7</v>
      </c>
      <c r="E132" s="5">
        <v>44026</v>
      </c>
      <c r="F132" s="4" t="s">
        <v>52</v>
      </c>
      <c r="G132" s="6">
        <v>362.61</v>
      </c>
      <c r="H132" s="4" t="s">
        <v>19</v>
      </c>
      <c r="I132" s="4" t="s">
        <v>14</v>
      </c>
      <c r="J132" s="4" t="s">
        <v>21</v>
      </c>
    </row>
    <row r="133" spans="1:10" ht="15.6" x14ac:dyDescent="0.3">
      <c r="A133" s="4" t="s">
        <v>295</v>
      </c>
      <c r="B133" s="4" t="s">
        <v>296</v>
      </c>
      <c r="C133" s="4">
        <f t="shared" si="2"/>
        <v>2020</v>
      </c>
      <c r="D133" s="4">
        <f>MONTH(Table2[[#This Row],[Purchase Date]])</f>
        <v>8</v>
      </c>
      <c r="E133" s="5">
        <v>44052</v>
      </c>
      <c r="F133" s="4" t="s">
        <v>18</v>
      </c>
      <c r="G133" s="6">
        <v>266.16000000000003</v>
      </c>
      <c r="H133" s="4" t="s">
        <v>13</v>
      </c>
      <c r="I133" s="4" t="s">
        <v>53</v>
      </c>
      <c r="J133" s="4" t="s">
        <v>15</v>
      </c>
    </row>
    <row r="134" spans="1:10" ht="15.6" x14ac:dyDescent="0.3">
      <c r="A134" s="4" t="s">
        <v>297</v>
      </c>
      <c r="B134" s="4" t="s">
        <v>298</v>
      </c>
      <c r="C134" s="4">
        <f t="shared" si="2"/>
        <v>2020</v>
      </c>
      <c r="D134" s="4">
        <f>MONTH(Table2[[#This Row],[Purchase Date]])</f>
        <v>8</v>
      </c>
      <c r="E134" s="5">
        <v>44053</v>
      </c>
      <c r="F134" s="4" t="s">
        <v>35</v>
      </c>
      <c r="G134" s="6">
        <v>178.61</v>
      </c>
      <c r="H134" s="4" t="s">
        <v>46</v>
      </c>
      <c r="I134" s="4" t="s">
        <v>106</v>
      </c>
      <c r="J134" s="4" t="s">
        <v>29</v>
      </c>
    </row>
    <row r="135" spans="1:10" ht="15.6" x14ac:dyDescent="0.3">
      <c r="A135" s="4" t="s">
        <v>137</v>
      </c>
      <c r="B135" s="4" t="s">
        <v>299</v>
      </c>
      <c r="C135" s="4">
        <f t="shared" si="2"/>
        <v>2020</v>
      </c>
      <c r="D135" s="4">
        <f>MONTH(Table2[[#This Row],[Purchase Date]])</f>
        <v>8</v>
      </c>
      <c r="E135" s="5">
        <v>44055</v>
      </c>
      <c r="F135" s="4" t="s">
        <v>52</v>
      </c>
      <c r="G135" s="6">
        <v>746.51</v>
      </c>
      <c r="H135" s="4" t="s">
        <v>19</v>
      </c>
      <c r="I135" s="4" t="s">
        <v>47</v>
      </c>
      <c r="J135" s="4" t="s">
        <v>21</v>
      </c>
    </row>
    <row r="136" spans="1:10" ht="15.6" x14ac:dyDescent="0.3">
      <c r="A136" s="4" t="s">
        <v>300</v>
      </c>
      <c r="B136" s="4" t="s">
        <v>301</v>
      </c>
      <c r="C136" s="4">
        <f t="shared" si="2"/>
        <v>2020</v>
      </c>
      <c r="D136" s="4">
        <f>MONTH(Table2[[#This Row],[Purchase Date]])</f>
        <v>8</v>
      </c>
      <c r="E136" s="5">
        <v>44059</v>
      </c>
      <c r="F136" s="4" t="s">
        <v>24</v>
      </c>
      <c r="G136" s="6">
        <v>1203.49</v>
      </c>
      <c r="H136" s="4" t="s">
        <v>46</v>
      </c>
      <c r="I136" s="4" t="s">
        <v>36</v>
      </c>
      <c r="J136" s="4" t="s">
        <v>29</v>
      </c>
    </row>
    <row r="137" spans="1:10" ht="15.6" x14ac:dyDescent="0.3">
      <c r="A137" s="4" t="s">
        <v>302</v>
      </c>
      <c r="B137" s="4" t="s">
        <v>303</v>
      </c>
      <c r="C137" s="4">
        <f t="shared" si="2"/>
        <v>2020</v>
      </c>
      <c r="D137" s="4">
        <f>MONTH(Table2[[#This Row],[Purchase Date]])</f>
        <v>8</v>
      </c>
      <c r="E137" s="5">
        <v>44062</v>
      </c>
      <c r="F137" s="4" t="s">
        <v>111</v>
      </c>
      <c r="G137" s="6">
        <v>1224.6099999999999</v>
      </c>
      <c r="H137" s="4" t="s">
        <v>13</v>
      </c>
      <c r="I137" s="4" t="s">
        <v>25</v>
      </c>
      <c r="J137" s="4" t="s">
        <v>29</v>
      </c>
    </row>
    <row r="138" spans="1:10" ht="15.6" x14ac:dyDescent="0.3">
      <c r="A138" s="4" t="s">
        <v>304</v>
      </c>
      <c r="B138" s="4" t="s">
        <v>305</v>
      </c>
      <c r="C138" s="4">
        <f t="shared" si="2"/>
        <v>2020</v>
      </c>
      <c r="D138" s="4">
        <f>MONTH(Table2[[#This Row],[Purchase Date]])</f>
        <v>8</v>
      </c>
      <c r="E138" s="5">
        <v>44064</v>
      </c>
      <c r="F138" s="4" t="s">
        <v>87</v>
      </c>
      <c r="G138" s="6">
        <v>1456.96</v>
      </c>
      <c r="H138" s="4" t="s">
        <v>13</v>
      </c>
      <c r="I138" s="4" t="s">
        <v>64</v>
      </c>
      <c r="J138" s="4" t="s">
        <v>15</v>
      </c>
    </row>
    <row r="139" spans="1:10" ht="15.6" x14ac:dyDescent="0.3">
      <c r="A139" s="4" t="s">
        <v>306</v>
      </c>
      <c r="B139" s="4" t="s">
        <v>307</v>
      </c>
      <c r="C139" s="4">
        <f t="shared" si="2"/>
        <v>2020</v>
      </c>
      <c r="D139" s="4">
        <f>MONTH(Table2[[#This Row],[Purchase Date]])</f>
        <v>9</v>
      </c>
      <c r="E139" s="5">
        <v>44090</v>
      </c>
      <c r="F139" s="4" t="s">
        <v>35</v>
      </c>
      <c r="G139" s="6">
        <v>1477.04</v>
      </c>
      <c r="H139" s="4" t="s">
        <v>46</v>
      </c>
      <c r="I139" s="4" t="s">
        <v>64</v>
      </c>
      <c r="J139" s="4" t="s">
        <v>29</v>
      </c>
    </row>
    <row r="140" spans="1:10" ht="15.6" x14ac:dyDescent="0.3">
      <c r="A140" s="4" t="s">
        <v>308</v>
      </c>
      <c r="B140" s="4" t="s">
        <v>309</v>
      </c>
      <c r="C140" s="4">
        <f t="shared" si="2"/>
        <v>2020</v>
      </c>
      <c r="D140" s="4">
        <f>MONTH(Table2[[#This Row],[Purchase Date]])</f>
        <v>9</v>
      </c>
      <c r="E140" s="5">
        <v>44092</v>
      </c>
      <c r="F140" s="4" t="s">
        <v>80</v>
      </c>
      <c r="G140" s="6">
        <v>1502.74</v>
      </c>
      <c r="H140" s="4" t="s">
        <v>19</v>
      </c>
      <c r="I140" s="4" t="s">
        <v>47</v>
      </c>
      <c r="J140" s="4" t="s">
        <v>21</v>
      </c>
    </row>
    <row r="141" spans="1:10" ht="15.6" x14ac:dyDescent="0.3">
      <c r="A141" s="4" t="s">
        <v>310</v>
      </c>
      <c r="B141" s="4" t="s">
        <v>311</v>
      </c>
      <c r="C141" s="4">
        <f t="shared" si="2"/>
        <v>2020</v>
      </c>
      <c r="D141" s="4">
        <f>MONTH(Table2[[#This Row],[Purchase Date]])</f>
        <v>9</v>
      </c>
      <c r="E141" s="5">
        <v>44098</v>
      </c>
      <c r="F141" s="4" t="s">
        <v>80</v>
      </c>
      <c r="G141" s="6">
        <v>1101.81</v>
      </c>
      <c r="H141" s="4" t="s">
        <v>46</v>
      </c>
      <c r="I141" s="4" t="s">
        <v>20</v>
      </c>
      <c r="J141" s="4" t="s">
        <v>29</v>
      </c>
    </row>
    <row r="142" spans="1:10" ht="15.6" x14ac:dyDescent="0.3">
      <c r="A142" s="4" t="s">
        <v>312</v>
      </c>
      <c r="B142" s="4" t="s">
        <v>313</v>
      </c>
      <c r="C142" s="4">
        <f t="shared" si="2"/>
        <v>2020</v>
      </c>
      <c r="D142" s="4">
        <f>MONTH(Table2[[#This Row],[Purchase Date]])</f>
        <v>10</v>
      </c>
      <c r="E142" s="5">
        <v>44106</v>
      </c>
      <c r="F142" s="4" t="s">
        <v>87</v>
      </c>
      <c r="G142" s="6">
        <v>1798.03</v>
      </c>
      <c r="H142" s="4" t="s">
        <v>19</v>
      </c>
      <c r="I142" s="4" t="s">
        <v>25</v>
      </c>
      <c r="J142" s="4" t="s">
        <v>15</v>
      </c>
    </row>
    <row r="143" spans="1:10" ht="15.6" x14ac:dyDescent="0.3">
      <c r="A143" s="4" t="s">
        <v>314</v>
      </c>
      <c r="B143" s="4" t="s">
        <v>315</v>
      </c>
      <c r="C143" s="4">
        <f t="shared" si="2"/>
        <v>2020</v>
      </c>
      <c r="D143" s="4">
        <f>MONTH(Table2[[#This Row],[Purchase Date]])</f>
        <v>10</v>
      </c>
      <c r="E143" s="5">
        <v>44111</v>
      </c>
      <c r="F143" s="4" t="s">
        <v>80</v>
      </c>
      <c r="G143" s="6">
        <v>943.63</v>
      </c>
      <c r="H143" s="4" t="s">
        <v>46</v>
      </c>
      <c r="I143" s="4" t="s">
        <v>20</v>
      </c>
      <c r="J143" s="4" t="s">
        <v>15</v>
      </c>
    </row>
    <row r="144" spans="1:10" ht="15.6" x14ac:dyDescent="0.3">
      <c r="A144" s="4" t="s">
        <v>92</v>
      </c>
      <c r="B144" s="4" t="s">
        <v>316</v>
      </c>
      <c r="C144" s="4">
        <f t="shared" si="2"/>
        <v>2020</v>
      </c>
      <c r="D144" s="4">
        <f>MONTH(Table2[[#This Row],[Purchase Date]])</f>
        <v>10</v>
      </c>
      <c r="E144" s="5">
        <v>44113</v>
      </c>
      <c r="F144" s="4" t="s">
        <v>35</v>
      </c>
      <c r="G144" s="6">
        <v>94.51</v>
      </c>
      <c r="H144" s="4" t="s">
        <v>46</v>
      </c>
      <c r="I144" s="4" t="s">
        <v>36</v>
      </c>
      <c r="J144" s="4" t="s">
        <v>29</v>
      </c>
    </row>
    <row r="145" spans="1:10" ht="15.6" x14ac:dyDescent="0.3">
      <c r="A145" s="4" t="s">
        <v>22</v>
      </c>
      <c r="B145" s="4" t="s">
        <v>317</v>
      </c>
      <c r="C145" s="4">
        <f t="shared" si="2"/>
        <v>2020</v>
      </c>
      <c r="D145" s="4">
        <f>MONTH(Table2[[#This Row],[Purchase Date]])</f>
        <v>11</v>
      </c>
      <c r="E145" s="5">
        <v>44160</v>
      </c>
      <c r="F145" s="4" t="s">
        <v>111</v>
      </c>
      <c r="G145" s="6">
        <v>589.41</v>
      </c>
      <c r="H145" s="4" t="s">
        <v>19</v>
      </c>
      <c r="I145" s="4" t="s">
        <v>47</v>
      </c>
      <c r="J145" s="4" t="s">
        <v>15</v>
      </c>
    </row>
    <row r="146" spans="1:10" ht="15.6" x14ac:dyDescent="0.3">
      <c r="A146" s="4" t="s">
        <v>318</v>
      </c>
      <c r="B146" s="4" t="s">
        <v>319</v>
      </c>
      <c r="C146" s="4">
        <f t="shared" si="2"/>
        <v>2021</v>
      </c>
      <c r="D146" s="4">
        <f>MONTH(Table2[[#This Row],[Purchase Date]])</f>
        <v>1</v>
      </c>
      <c r="E146" s="5">
        <v>44221</v>
      </c>
      <c r="F146" s="4" t="s">
        <v>111</v>
      </c>
      <c r="G146" s="6">
        <v>289.72000000000003</v>
      </c>
      <c r="H146" s="4" t="s">
        <v>13</v>
      </c>
      <c r="I146" s="4" t="s">
        <v>39</v>
      </c>
      <c r="J146" s="4" t="s">
        <v>15</v>
      </c>
    </row>
    <row r="147" spans="1:10" ht="15.6" x14ac:dyDescent="0.3">
      <c r="A147" s="4" t="s">
        <v>320</v>
      </c>
      <c r="B147" s="4" t="s">
        <v>321</v>
      </c>
      <c r="C147" s="4">
        <f t="shared" si="2"/>
        <v>2021</v>
      </c>
      <c r="D147" s="4">
        <f>MONTH(Table2[[#This Row],[Purchase Date]])</f>
        <v>1</v>
      </c>
      <c r="E147" s="5">
        <v>44222</v>
      </c>
      <c r="F147" s="4" t="s">
        <v>12</v>
      </c>
      <c r="G147" s="6">
        <v>1658.7</v>
      </c>
      <c r="H147" s="4" t="s">
        <v>13</v>
      </c>
      <c r="I147" s="4" t="s">
        <v>39</v>
      </c>
      <c r="J147" s="4" t="s">
        <v>15</v>
      </c>
    </row>
    <row r="148" spans="1:10" ht="15.6" x14ac:dyDescent="0.3">
      <c r="A148" s="4" t="s">
        <v>322</v>
      </c>
      <c r="B148" s="4" t="s">
        <v>323</v>
      </c>
      <c r="C148" s="4">
        <f t="shared" si="2"/>
        <v>2021</v>
      </c>
      <c r="D148" s="4">
        <f>MONTH(Table2[[#This Row],[Purchase Date]])</f>
        <v>2</v>
      </c>
      <c r="E148" s="5">
        <v>44228</v>
      </c>
      <c r="F148" s="4" t="s">
        <v>18</v>
      </c>
      <c r="G148" s="6">
        <v>1092.94</v>
      </c>
      <c r="H148" s="4" t="s">
        <v>46</v>
      </c>
      <c r="I148" s="4" t="s">
        <v>36</v>
      </c>
      <c r="J148" s="4" t="s">
        <v>15</v>
      </c>
    </row>
    <row r="149" spans="1:10" ht="15.6" x14ac:dyDescent="0.3">
      <c r="A149" s="4" t="s">
        <v>324</v>
      </c>
      <c r="B149" s="4" t="s">
        <v>325</v>
      </c>
      <c r="C149" s="4">
        <f t="shared" si="2"/>
        <v>2021</v>
      </c>
      <c r="D149" s="4">
        <f>MONTH(Table2[[#This Row],[Purchase Date]])</f>
        <v>2</v>
      </c>
      <c r="E149" s="5">
        <v>44236</v>
      </c>
      <c r="F149" s="4" t="s">
        <v>18</v>
      </c>
      <c r="G149" s="6">
        <v>1179.23</v>
      </c>
      <c r="H149" s="4" t="s">
        <v>13</v>
      </c>
      <c r="I149" s="4" t="s">
        <v>53</v>
      </c>
      <c r="J149" s="4" t="s">
        <v>21</v>
      </c>
    </row>
    <row r="150" spans="1:10" ht="15.6" x14ac:dyDescent="0.3">
      <c r="A150" s="4" t="s">
        <v>326</v>
      </c>
      <c r="B150" s="4" t="s">
        <v>327</v>
      </c>
      <c r="C150" s="4">
        <f t="shared" si="2"/>
        <v>2021</v>
      </c>
      <c r="D150" s="4">
        <f>MONTH(Table2[[#This Row],[Purchase Date]])</f>
        <v>2</v>
      </c>
      <c r="E150" s="5">
        <v>44241</v>
      </c>
      <c r="F150" s="4" t="s">
        <v>69</v>
      </c>
      <c r="G150" s="6">
        <v>1457.68</v>
      </c>
      <c r="H150" s="4" t="s">
        <v>46</v>
      </c>
      <c r="I150" s="4" t="s">
        <v>39</v>
      </c>
      <c r="J150" s="4" t="s">
        <v>29</v>
      </c>
    </row>
    <row r="151" spans="1:10" ht="15.6" x14ac:dyDescent="0.3">
      <c r="A151" s="4" t="s">
        <v>328</v>
      </c>
      <c r="B151" s="4" t="s">
        <v>329</v>
      </c>
      <c r="C151" s="4">
        <f t="shared" si="2"/>
        <v>2021</v>
      </c>
      <c r="D151" s="4">
        <f>MONTH(Table2[[#This Row],[Purchase Date]])</f>
        <v>2</v>
      </c>
      <c r="E151" s="5">
        <v>44247</v>
      </c>
      <c r="F151" s="4" t="s">
        <v>35</v>
      </c>
      <c r="G151" s="6">
        <v>805.08</v>
      </c>
      <c r="H151" s="4" t="s">
        <v>19</v>
      </c>
      <c r="I151" s="4" t="s">
        <v>36</v>
      </c>
      <c r="J151" s="4" t="s">
        <v>15</v>
      </c>
    </row>
    <row r="152" spans="1:10" ht="15.6" x14ac:dyDescent="0.3">
      <c r="A152" s="4" t="s">
        <v>330</v>
      </c>
      <c r="B152" s="4" t="s">
        <v>331</v>
      </c>
      <c r="C152" s="4">
        <f t="shared" si="2"/>
        <v>2021</v>
      </c>
      <c r="D152" s="4">
        <f>MONTH(Table2[[#This Row],[Purchase Date]])</f>
        <v>2</v>
      </c>
      <c r="E152" s="5">
        <v>44254</v>
      </c>
      <c r="F152" s="4" t="s">
        <v>12</v>
      </c>
      <c r="G152" s="6">
        <v>222.57</v>
      </c>
      <c r="H152" s="4" t="s">
        <v>13</v>
      </c>
      <c r="I152" s="4" t="s">
        <v>14</v>
      </c>
      <c r="J152" s="4" t="s">
        <v>21</v>
      </c>
    </row>
    <row r="153" spans="1:10" ht="15.6" x14ac:dyDescent="0.3">
      <c r="A153" s="4" t="s">
        <v>167</v>
      </c>
      <c r="B153" s="4" t="s">
        <v>332</v>
      </c>
      <c r="C153" s="4">
        <f t="shared" si="2"/>
        <v>2021</v>
      </c>
      <c r="D153" s="4">
        <f>MONTH(Table2[[#This Row],[Purchase Date]])</f>
        <v>2</v>
      </c>
      <c r="E153" s="5">
        <v>44254</v>
      </c>
      <c r="F153" s="4" t="s">
        <v>111</v>
      </c>
      <c r="G153" s="6">
        <v>688.26</v>
      </c>
      <c r="H153" s="4" t="s">
        <v>46</v>
      </c>
      <c r="I153" s="4" t="s">
        <v>32</v>
      </c>
      <c r="J153" s="4" t="s">
        <v>29</v>
      </c>
    </row>
    <row r="154" spans="1:10" ht="15.6" x14ac:dyDescent="0.3">
      <c r="A154" s="4" t="s">
        <v>167</v>
      </c>
      <c r="B154" s="4" t="s">
        <v>333</v>
      </c>
      <c r="C154" s="4">
        <f t="shared" si="2"/>
        <v>2021</v>
      </c>
      <c r="D154" s="4">
        <f>MONTH(Table2[[#This Row],[Purchase Date]])</f>
        <v>3</v>
      </c>
      <c r="E154" s="5">
        <v>44265</v>
      </c>
      <c r="F154" s="4" t="s">
        <v>111</v>
      </c>
      <c r="G154" s="6">
        <v>1322.76</v>
      </c>
      <c r="H154" s="4" t="s">
        <v>13</v>
      </c>
      <c r="I154" s="4" t="s">
        <v>64</v>
      </c>
      <c r="J154" s="4" t="s">
        <v>15</v>
      </c>
    </row>
    <row r="155" spans="1:10" ht="15.6" x14ac:dyDescent="0.3">
      <c r="A155" s="4" t="s">
        <v>334</v>
      </c>
      <c r="B155" s="4" t="s">
        <v>335</v>
      </c>
      <c r="C155" s="4">
        <f t="shared" si="2"/>
        <v>2021</v>
      </c>
      <c r="D155" s="4">
        <f>MONTH(Table2[[#This Row],[Purchase Date]])</f>
        <v>3</v>
      </c>
      <c r="E155" s="5">
        <v>44266</v>
      </c>
      <c r="F155" s="4" t="s">
        <v>111</v>
      </c>
      <c r="G155" s="6">
        <v>1179.6099999999999</v>
      </c>
      <c r="H155" s="4" t="s">
        <v>19</v>
      </c>
      <c r="I155" s="4" t="s">
        <v>47</v>
      </c>
      <c r="J155" s="4" t="s">
        <v>15</v>
      </c>
    </row>
    <row r="156" spans="1:10" ht="15.6" x14ac:dyDescent="0.3">
      <c r="A156" s="4" t="s">
        <v>336</v>
      </c>
      <c r="B156" s="4" t="s">
        <v>337</v>
      </c>
      <c r="C156" s="4">
        <f t="shared" si="2"/>
        <v>2021</v>
      </c>
      <c r="D156" s="4">
        <f>MONTH(Table2[[#This Row],[Purchase Date]])</f>
        <v>4</v>
      </c>
      <c r="E156" s="5">
        <v>44291</v>
      </c>
      <c r="F156" s="4" t="s">
        <v>69</v>
      </c>
      <c r="G156" s="6">
        <v>1945.79</v>
      </c>
      <c r="H156" s="4" t="s">
        <v>46</v>
      </c>
      <c r="I156" s="4" t="s">
        <v>25</v>
      </c>
      <c r="J156" s="4" t="s">
        <v>21</v>
      </c>
    </row>
    <row r="157" spans="1:10" ht="15.6" x14ac:dyDescent="0.3">
      <c r="A157" s="4" t="s">
        <v>338</v>
      </c>
      <c r="B157" s="4" t="s">
        <v>339</v>
      </c>
      <c r="C157" s="4">
        <f t="shared" si="2"/>
        <v>2021</v>
      </c>
      <c r="D157" s="4">
        <f>MONTH(Table2[[#This Row],[Purchase Date]])</f>
        <v>7</v>
      </c>
      <c r="E157" s="5">
        <v>44388</v>
      </c>
      <c r="F157" s="4" t="s">
        <v>12</v>
      </c>
      <c r="G157" s="6">
        <v>433.38</v>
      </c>
      <c r="H157" s="4" t="s">
        <v>46</v>
      </c>
      <c r="I157" s="4" t="s">
        <v>47</v>
      </c>
      <c r="J157" s="4" t="s">
        <v>29</v>
      </c>
    </row>
    <row r="158" spans="1:10" ht="15.6" x14ac:dyDescent="0.3">
      <c r="A158" s="4" t="s">
        <v>340</v>
      </c>
      <c r="B158" s="4" t="s">
        <v>341</v>
      </c>
      <c r="C158" s="4">
        <f t="shared" si="2"/>
        <v>2021</v>
      </c>
      <c r="D158" s="4">
        <f>MONTH(Table2[[#This Row],[Purchase Date]])</f>
        <v>9</v>
      </c>
      <c r="E158" s="5">
        <v>44450</v>
      </c>
      <c r="F158" s="4" t="s">
        <v>111</v>
      </c>
      <c r="G158" s="6">
        <v>819.72</v>
      </c>
      <c r="H158" s="4" t="s">
        <v>46</v>
      </c>
      <c r="I158" s="4" t="s">
        <v>20</v>
      </c>
      <c r="J158" s="4" t="s">
        <v>21</v>
      </c>
    </row>
    <row r="159" spans="1:10" ht="15.6" x14ac:dyDescent="0.3">
      <c r="A159" s="4" t="s">
        <v>342</v>
      </c>
      <c r="B159" s="4" t="s">
        <v>343</v>
      </c>
      <c r="C159" s="4">
        <f t="shared" si="2"/>
        <v>2021</v>
      </c>
      <c r="D159" s="4">
        <f>MONTH(Table2[[#This Row],[Purchase Date]])</f>
        <v>9</v>
      </c>
      <c r="E159" s="5">
        <v>44452</v>
      </c>
      <c r="F159" s="4" t="s">
        <v>24</v>
      </c>
      <c r="G159" s="6">
        <v>119.04</v>
      </c>
      <c r="H159" s="4" t="s">
        <v>19</v>
      </c>
      <c r="I159" s="4" t="s">
        <v>32</v>
      </c>
      <c r="J159" s="4" t="s">
        <v>21</v>
      </c>
    </row>
    <row r="160" spans="1:10" ht="15.6" x14ac:dyDescent="0.3">
      <c r="A160" s="4" t="s">
        <v>344</v>
      </c>
      <c r="B160" s="4" t="s">
        <v>345</v>
      </c>
      <c r="C160" s="4">
        <f t="shared" si="2"/>
        <v>2021</v>
      </c>
      <c r="D160" s="4">
        <f>MONTH(Table2[[#This Row],[Purchase Date]])</f>
        <v>9</v>
      </c>
      <c r="E160" s="5">
        <v>44453</v>
      </c>
      <c r="F160" s="4" t="s">
        <v>24</v>
      </c>
      <c r="G160" s="6">
        <v>749.53</v>
      </c>
      <c r="H160" s="4" t="s">
        <v>19</v>
      </c>
      <c r="I160" s="4" t="s">
        <v>20</v>
      </c>
      <c r="J160" s="4" t="s">
        <v>15</v>
      </c>
    </row>
    <row r="161" spans="1:10" ht="15.6" x14ac:dyDescent="0.3">
      <c r="A161" s="4" t="s">
        <v>346</v>
      </c>
      <c r="B161" s="4" t="s">
        <v>347</v>
      </c>
      <c r="C161" s="4">
        <f t="shared" si="2"/>
        <v>2021</v>
      </c>
      <c r="D161" s="4">
        <f>MONTH(Table2[[#This Row],[Purchase Date]])</f>
        <v>9</v>
      </c>
      <c r="E161" s="5">
        <v>44462</v>
      </c>
      <c r="F161" s="4" t="s">
        <v>35</v>
      </c>
      <c r="G161" s="6">
        <v>1710.45</v>
      </c>
      <c r="H161" s="4" t="s">
        <v>46</v>
      </c>
      <c r="I161" s="4" t="s">
        <v>25</v>
      </c>
      <c r="J161" s="4" t="s">
        <v>29</v>
      </c>
    </row>
    <row r="162" spans="1:10" ht="15.6" x14ac:dyDescent="0.3">
      <c r="A162" s="4" t="s">
        <v>334</v>
      </c>
      <c r="B162" s="4" t="s">
        <v>348</v>
      </c>
      <c r="C162" s="4">
        <f t="shared" si="2"/>
        <v>2021</v>
      </c>
      <c r="D162" s="4">
        <f>MONTH(Table2[[#This Row],[Purchase Date]])</f>
        <v>9</v>
      </c>
      <c r="E162" s="5">
        <v>44468</v>
      </c>
      <c r="F162" s="4" t="s">
        <v>35</v>
      </c>
      <c r="G162" s="6">
        <v>946.52</v>
      </c>
      <c r="H162" s="4" t="s">
        <v>46</v>
      </c>
      <c r="I162" s="4" t="s">
        <v>53</v>
      </c>
      <c r="J162" s="4" t="s">
        <v>15</v>
      </c>
    </row>
    <row r="163" spans="1:10" ht="15.6" x14ac:dyDescent="0.3">
      <c r="A163" s="4" t="s">
        <v>349</v>
      </c>
      <c r="B163" s="4" t="s">
        <v>350</v>
      </c>
      <c r="C163" s="4">
        <f t="shared" si="2"/>
        <v>2021</v>
      </c>
      <c r="D163" s="4">
        <f>MONTH(Table2[[#This Row],[Purchase Date]])</f>
        <v>9</v>
      </c>
      <c r="E163" s="5">
        <v>44469</v>
      </c>
      <c r="F163" s="4" t="s">
        <v>35</v>
      </c>
      <c r="G163" s="6">
        <v>1322.75</v>
      </c>
      <c r="H163" s="4" t="s">
        <v>13</v>
      </c>
      <c r="I163" s="4" t="s">
        <v>39</v>
      </c>
      <c r="J163" s="4" t="s">
        <v>15</v>
      </c>
    </row>
    <row r="164" spans="1:10" ht="15.6" x14ac:dyDescent="0.3">
      <c r="A164" s="4" t="s">
        <v>351</v>
      </c>
      <c r="B164" s="4" t="s">
        <v>352</v>
      </c>
      <c r="C164" s="4">
        <f t="shared" si="2"/>
        <v>2021</v>
      </c>
      <c r="D164" s="4">
        <f>MONTH(Table2[[#This Row],[Purchase Date]])</f>
        <v>10</v>
      </c>
      <c r="E164" s="5">
        <v>44487</v>
      </c>
      <c r="F164" s="4" t="s">
        <v>28</v>
      </c>
      <c r="G164" s="6">
        <v>1769.73</v>
      </c>
      <c r="H164" s="4" t="s">
        <v>46</v>
      </c>
      <c r="I164" s="4" t="s">
        <v>47</v>
      </c>
      <c r="J164" s="4" t="s">
        <v>21</v>
      </c>
    </row>
    <row r="165" spans="1:10" ht="15.6" x14ac:dyDescent="0.3">
      <c r="A165" s="4" t="s">
        <v>353</v>
      </c>
      <c r="B165" s="4" t="s">
        <v>354</v>
      </c>
      <c r="C165" s="4">
        <f t="shared" si="2"/>
        <v>2021</v>
      </c>
      <c r="D165" s="4">
        <f>MONTH(Table2[[#This Row],[Purchase Date]])</f>
        <v>11</v>
      </c>
      <c r="E165" s="5">
        <v>44505</v>
      </c>
      <c r="F165" s="4" t="s">
        <v>52</v>
      </c>
      <c r="G165" s="6">
        <v>120.32</v>
      </c>
      <c r="H165" s="4" t="s">
        <v>19</v>
      </c>
      <c r="I165" s="4" t="s">
        <v>106</v>
      </c>
      <c r="J165" s="4" t="s">
        <v>21</v>
      </c>
    </row>
    <row r="166" spans="1:10" ht="15.6" x14ac:dyDescent="0.3">
      <c r="A166" s="4" t="s">
        <v>355</v>
      </c>
      <c r="B166" s="4" t="s">
        <v>356</v>
      </c>
      <c r="C166" s="4">
        <f t="shared" si="2"/>
        <v>2021</v>
      </c>
      <c r="D166" s="4">
        <f>MONTH(Table2[[#This Row],[Purchase Date]])</f>
        <v>12</v>
      </c>
      <c r="E166" s="5">
        <v>44542</v>
      </c>
      <c r="F166" s="4" t="s">
        <v>69</v>
      </c>
      <c r="G166" s="6">
        <v>283.77</v>
      </c>
      <c r="H166" s="4" t="s">
        <v>13</v>
      </c>
      <c r="I166" s="4" t="s">
        <v>20</v>
      </c>
      <c r="J166" s="4" t="s">
        <v>15</v>
      </c>
    </row>
    <row r="167" spans="1:10" ht="15.6" x14ac:dyDescent="0.3">
      <c r="A167" s="4" t="s">
        <v>357</v>
      </c>
      <c r="B167" s="4" t="s">
        <v>358</v>
      </c>
      <c r="C167" s="4">
        <f t="shared" si="2"/>
        <v>2021</v>
      </c>
      <c r="D167" s="4">
        <f>MONTH(Table2[[#This Row],[Purchase Date]])</f>
        <v>12</v>
      </c>
      <c r="E167" s="5">
        <v>44544</v>
      </c>
      <c r="F167" s="4" t="s">
        <v>24</v>
      </c>
      <c r="G167" s="6">
        <v>1291.56</v>
      </c>
      <c r="H167" s="4" t="s">
        <v>46</v>
      </c>
      <c r="I167" s="4" t="s">
        <v>47</v>
      </c>
      <c r="J167" s="4" t="s">
        <v>21</v>
      </c>
    </row>
    <row r="168" spans="1:10" ht="15.6" x14ac:dyDescent="0.3">
      <c r="A168" s="4" t="s">
        <v>359</v>
      </c>
      <c r="B168" s="4" t="s">
        <v>360</v>
      </c>
      <c r="C168" s="4">
        <f t="shared" si="2"/>
        <v>2021</v>
      </c>
      <c r="D168" s="4">
        <f>MONTH(Table2[[#This Row],[Purchase Date]])</f>
        <v>12</v>
      </c>
      <c r="E168" s="5">
        <v>44545</v>
      </c>
      <c r="F168" s="4" t="s">
        <v>24</v>
      </c>
      <c r="G168" s="6">
        <v>1305.6199999999999</v>
      </c>
      <c r="H168" s="4" t="s">
        <v>13</v>
      </c>
      <c r="I168" s="4" t="s">
        <v>36</v>
      </c>
      <c r="J168" s="4" t="s">
        <v>21</v>
      </c>
    </row>
    <row r="169" spans="1:10" ht="15.6" x14ac:dyDescent="0.3">
      <c r="A169" s="4" t="s">
        <v>361</v>
      </c>
      <c r="B169" s="4" t="s">
        <v>362</v>
      </c>
      <c r="C169" s="4">
        <f t="shared" si="2"/>
        <v>2021</v>
      </c>
      <c r="D169" s="4">
        <f>MONTH(Table2[[#This Row],[Purchase Date]])</f>
        <v>12</v>
      </c>
      <c r="E169" s="5">
        <v>44558</v>
      </c>
      <c r="F169" s="4" t="s">
        <v>24</v>
      </c>
      <c r="G169" s="6">
        <v>493.04</v>
      </c>
      <c r="H169" s="4" t="s">
        <v>19</v>
      </c>
      <c r="I169" s="4" t="s">
        <v>64</v>
      </c>
      <c r="J169" s="4" t="s">
        <v>21</v>
      </c>
    </row>
    <row r="170" spans="1:10" ht="15.6" x14ac:dyDescent="0.3">
      <c r="A170" s="4" t="s">
        <v>293</v>
      </c>
      <c r="B170" s="4" t="s">
        <v>363</v>
      </c>
      <c r="C170" s="4">
        <f t="shared" si="2"/>
        <v>2022</v>
      </c>
      <c r="D170" s="4">
        <f>MONTH(Table2[[#This Row],[Purchase Date]])</f>
        <v>1</v>
      </c>
      <c r="E170" s="5">
        <v>44570</v>
      </c>
      <c r="F170" s="4" t="s">
        <v>52</v>
      </c>
      <c r="G170" s="6">
        <v>576.57000000000005</v>
      </c>
      <c r="H170" s="4" t="s">
        <v>19</v>
      </c>
      <c r="I170" s="4" t="s">
        <v>64</v>
      </c>
      <c r="J170" s="4" t="s">
        <v>21</v>
      </c>
    </row>
    <row r="171" spans="1:10" ht="15.6" x14ac:dyDescent="0.3">
      <c r="A171" s="4" t="s">
        <v>364</v>
      </c>
      <c r="B171" s="4" t="s">
        <v>365</v>
      </c>
      <c r="C171" s="4">
        <f t="shared" si="2"/>
        <v>2022</v>
      </c>
      <c r="D171" s="4">
        <f>MONTH(Table2[[#This Row],[Purchase Date]])</f>
        <v>1</v>
      </c>
      <c r="E171" s="5">
        <v>44584</v>
      </c>
      <c r="F171" s="4" t="s">
        <v>87</v>
      </c>
      <c r="G171" s="6">
        <v>844.07</v>
      </c>
      <c r="H171" s="4" t="s">
        <v>13</v>
      </c>
      <c r="I171" s="4" t="s">
        <v>14</v>
      </c>
      <c r="J171" s="4" t="s">
        <v>29</v>
      </c>
    </row>
    <row r="172" spans="1:10" ht="15.6" x14ac:dyDescent="0.3">
      <c r="A172" s="4" t="s">
        <v>366</v>
      </c>
      <c r="B172" s="4" t="s">
        <v>367</v>
      </c>
      <c r="C172" s="4">
        <f t="shared" si="2"/>
        <v>2022</v>
      </c>
      <c r="D172" s="4">
        <f>MONTH(Table2[[#This Row],[Purchase Date]])</f>
        <v>1</v>
      </c>
      <c r="E172" s="5">
        <v>44588</v>
      </c>
      <c r="F172" s="4" t="s">
        <v>18</v>
      </c>
      <c r="G172" s="6">
        <v>1341.86</v>
      </c>
      <c r="H172" s="4" t="s">
        <v>19</v>
      </c>
      <c r="I172" s="4" t="s">
        <v>53</v>
      </c>
      <c r="J172" s="4" t="s">
        <v>21</v>
      </c>
    </row>
    <row r="173" spans="1:10" ht="15.6" x14ac:dyDescent="0.3">
      <c r="A173" s="4" t="s">
        <v>368</v>
      </c>
      <c r="B173" s="4" t="s">
        <v>369</v>
      </c>
      <c r="C173" s="4">
        <f t="shared" si="2"/>
        <v>2022</v>
      </c>
      <c r="D173" s="4">
        <f>MONTH(Table2[[#This Row],[Purchase Date]])</f>
        <v>2</v>
      </c>
      <c r="E173" s="5">
        <v>44610</v>
      </c>
      <c r="F173" s="4" t="s">
        <v>35</v>
      </c>
      <c r="G173" s="6">
        <v>877.34</v>
      </c>
      <c r="H173" s="4" t="s">
        <v>19</v>
      </c>
      <c r="I173" s="4" t="s">
        <v>25</v>
      </c>
      <c r="J173" s="4" t="s">
        <v>29</v>
      </c>
    </row>
    <row r="174" spans="1:10" ht="15.6" x14ac:dyDescent="0.3">
      <c r="A174" s="4" t="s">
        <v>370</v>
      </c>
      <c r="B174" s="4" t="s">
        <v>371</v>
      </c>
      <c r="C174" s="4">
        <f t="shared" si="2"/>
        <v>2022</v>
      </c>
      <c r="D174" s="4">
        <f>MONTH(Table2[[#This Row],[Purchase Date]])</f>
        <v>2</v>
      </c>
      <c r="E174" s="5">
        <v>44611</v>
      </c>
      <c r="F174" s="4" t="s">
        <v>111</v>
      </c>
      <c r="G174" s="6">
        <v>1055.32</v>
      </c>
      <c r="H174" s="4" t="s">
        <v>46</v>
      </c>
      <c r="I174" s="4" t="s">
        <v>36</v>
      </c>
      <c r="J174" s="4" t="s">
        <v>29</v>
      </c>
    </row>
    <row r="175" spans="1:10" ht="15.6" x14ac:dyDescent="0.3">
      <c r="A175" s="4" t="s">
        <v>372</v>
      </c>
      <c r="B175" s="4" t="s">
        <v>373</v>
      </c>
      <c r="C175" s="4">
        <f t="shared" si="2"/>
        <v>2022</v>
      </c>
      <c r="D175" s="4">
        <f>MONTH(Table2[[#This Row],[Purchase Date]])</f>
        <v>2</v>
      </c>
      <c r="E175" s="5">
        <v>44611</v>
      </c>
      <c r="F175" s="4" t="s">
        <v>12</v>
      </c>
      <c r="G175" s="6">
        <v>863.13</v>
      </c>
      <c r="H175" s="4" t="s">
        <v>13</v>
      </c>
      <c r="I175" s="4" t="s">
        <v>39</v>
      </c>
      <c r="J175" s="4" t="s">
        <v>21</v>
      </c>
    </row>
    <row r="176" spans="1:10" ht="15.6" x14ac:dyDescent="0.3">
      <c r="A176" s="4" t="s">
        <v>374</v>
      </c>
      <c r="B176" s="4" t="s">
        <v>375</v>
      </c>
      <c r="C176" s="4">
        <f t="shared" si="2"/>
        <v>2022</v>
      </c>
      <c r="D176" s="4">
        <f>MONTH(Table2[[#This Row],[Purchase Date]])</f>
        <v>3</v>
      </c>
      <c r="E176" s="5">
        <v>44647</v>
      </c>
      <c r="F176" s="4" t="s">
        <v>69</v>
      </c>
      <c r="G176" s="6">
        <v>164.13</v>
      </c>
      <c r="H176" s="4" t="s">
        <v>13</v>
      </c>
      <c r="I176" s="4" t="s">
        <v>14</v>
      </c>
      <c r="J176" s="4" t="s">
        <v>29</v>
      </c>
    </row>
    <row r="177" spans="1:10" ht="15.6" x14ac:dyDescent="0.3">
      <c r="A177" s="4" t="s">
        <v>376</v>
      </c>
      <c r="B177" s="4" t="s">
        <v>377</v>
      </c>
      <c r="C177" s="4">
        <f t="shared" si="2"/>
        <v>2022</v>
      </c>
      <c r="D177" s="4">
        <f>MONTH(Table2[[#This Row],[Purchase Date]])</f>
        <v>3</v>
      </c>
      <c r="E177" s="5">
        <v>44647</v>
      </c>
      <c r="F177" s="4" t="s">
        <v>111</v>
      </c>
      <c r="G177" s="6">
        <v>1583.24</v>
      </c>
      <c r="H177" s="4" t="s">
        <v>46</v>
      </c>
      <c r="I177" s="4" t="s">
        <v>53</v>
      </c>
      <c r="J177" s="4" t="s">
        <v>29</v>
      </c>
    </row>
    <row r="178" spans="1:10" ht="15.6" x14ac:dyDescent="0.3">
      <c r="A178" s="4" t="s">
        <v>378</v>
      </c>
      <c r="B178" s="4" t="s">
        <v>379</v>
      </c>
      <c r="C178" s="4">
        <f t="shared" si="2"/>
        <v>2022</v>
      </c>
      <c r="D178" s="4">
        <f>MONTH(Table2[[#This Row],[Purchase Date]])</f>
        <v>4</v>
      </c>
      <c r="E178" s="5">
        <v>44663</v>
      </c>
      <c r="F178" s="4" t="s">
        <v>28</v>
      </c>
      <c r="G178" s="6">
        <v>164.93</v>
      </c>
      <c r="H178" s="4" t="s">
        <v>46</v>
      </c>
      <c r="I178" s="4" t="s">
        <v>106</v>
      </c>
      <c r="J178" s="4" t="s">
        <v>29</v>
      </c>
    </row>
    <row r="179" spans="1:10" ht="15.6" x14ac:dyDescent="0.3">
      <c r="A179" s="4" t="s">
        <v>40</v>
      </c>
      <c r="B179" s="4" t="s">
        <v>380</v>
      </c>
      <c r="C179" s="4">
        <f t="shared" si="2"/>
        <v>2022</v>
      </c>
      <c r="D179" s="4">
        <f>MONTH(Table2[[#This Row],[Purchase Date]])</f>
        <v>5</v>
      </c>
      <c r="E179" s="5">
        <v>44685</v>
      </c>
      <c r="F179" s="4" t="s">
        <v>87</v>
      </c>
      <c r="G179" s="6">
        <v>174.16</v>
      </c>
      <c r="H179" s="4" t="s">
        <v>13</v>
      </c>
      <c r="I179" s="4" t="s">
        <v>64</v>
      </c>
      <c r="J179" s="4" t="s">
        <v>21</v>
      </c>
    </row>
    <row r="180" spans="1:10" ht="15.6" x14ac:dyDescent="0.3">
      <c r="A180" s="4" t="s">
        <v>381</v>
      </c>
      <c r="B180" s="4" t="s">
        <v>382</v>
      </c>
      <c r="C180" s="4">
        <f t="shared" si="2"/>
        <v>2022</v>
      </c>
      <c r="D180" s="4">
        <f>MONTH(Table2[[#This Row],[Purchase Date]])</f>
        <v>5</v>
      </c>
      <c r="E180" s="5">
        <v>44688</v>
      </c>
      <c r="F180" s="4" t="s">
        <v>35</v>
      </c>
      <c r="G180" s="6">
        <v>1426.55</v>
      </c>
      <c r="H180" s="4" t="s">
        <v>46</v>
      </c>
      <c r="I180" s="4" t="s">
        <v>25</v>
      </c>
      <c r="J180" s="4" t="s">
        <v>29</v>
      </c>
    </row>
    <row r="181" spans="1:10" ht="15.6" x14ac:dyDescent="0.3">
      <c r="A181" s="4" t="s">
        <v>383</v>
      </c>
      <c r="B181" s="4" t="s">
        <v>384</v>
      </c>
      <c r="C181" s="4">
        <f t="shared" si="2"/>
        <v>2022</v>
      </c>
      <c r="D181" s="4">
        <f>MONTH(Table2[[#This Row],[Purchase Date]])</f>
        <v>5</v>
      </c>
      <c r="E181" s="5">
        <v>44688</v>
      </c>
      <c r="F181" s="4" t="s">
        <v>12</v>
      </c>
      <c r="G181" s="6">
        <v>152.33000000000001</v>
      </c>
      <c r="H181" s="4" t="s">
        <v>19</v>
      </c>
      <c r="I181" s="4" t="s">
        <v>106</v>
      </c>
      <c r="J181" s="4" t="s">
        <v>15</v>
      </c>
    </row>
    <row r="182" spans="1:10" ht="15.6" x14ac:dyDescent="0.3">
      <c r="A182" s="4" t="s">
        <v>385</v>
      </c>
      <c r="B182" s="4" t="s">
        <v>386</v>
      </c>
      <c r="C182" s="4">
        <f t="shared" si="2"/>
        <v>2022</v>
      </c>
      <c r="D182" s="4">
        <f>MONTH(Table2[[#This Row],[Purchase Date]])</f>
        <v>5</v>
      </c>
      <c r="E182" s="5">
        <v>44689</v>
      </c>
      <c r="F182" s="4" t="s">
        <v>80</v>
      </c>
      <c r="G182" s="6">
        <v>225.47</v>
      </c>
      <c r="H182" s="4" t="s">
        <v>13</v>
      </c>
      <c r="I182" s="4" t="s">
        <v>20</v>
      </c>
      <c r="J182" s="4" t="s">
        <v>29</v>
      </c>
    </row>
    <row r="183" spans="1:10" ht="15.6" x14ac:dyDescent="0.3">
      <c r="A183" s="4" t="s">
        <v>387</v>
      </c>
      <c r="B183" s="4" t="s">
        <v>388</v>
      </c>
      <c r="C183" s="4">
        <f t="shared" si="2"/>
        <v>2022</v>
      </c>
      <c r="D183" s="4">
        <f>MONTH(Table2[[#This Row],[Purchase Date]])</f>
        <v>5</v>
      </c>
      <c r="E183" s="5">
        <v>44689</v>
      </c>
      <c r="F183" s="4" t="s">
        <v>12</v>
      </c>
      <c r="G183" s="6">
        <v>1170.6500000000001</v>
      </c>
      <c r="H183" s="4" t="s">
        <v>13</v>
      </c>
      <c r="I183" s="4" t="s">
        <v>25</v>
      </c>
      <c r="J183" s="4" t="s">
        <v>29</v>
      </c>
    </row>
    <row r="184" spans="1:10" ht="15.6" x14ac:dyDescent="0.3">
      <c r="A184" s="4" t="s">
        <v>389</v>
      </c>
      <c r="B184" s="4" t="s">
        <v>390</v>
      </c>
      <c r="C184" s="4">
        <f t="shared" si="2"/>
        <v>2022</v>
      </c>
      <c r="D184" s="4">
        <f>MONTH(Table2[[#This Row],[Purchase Date]])</f>
        <v>5</v>
      </c>
      <c r="E184" s="5">
        <v>44690</v>
      </c>
      <c r="F184" s="4" t="s">
        <v>87</v>
      </c>
      <c r="G184" s="6">
        <v>1422.62</v>
      </c>
      <c r="H184" s="4" t="s">
        <v>19</v>
      </c>
      <c r="I184" s="4" t="s">
        <v>106</v>
      </c>
      <c r="J184" s="4" t="s">
        <v>29</v>
      </c>
    </row>
    <row r="185" spans="1:10" ht="15.6" x14ac:dyDescent="0.3">
      <c r="A185" s="4" t="s">
        <v>230</v>
      </c>
      <c r="B185" s="4" t="s">
        <v>391</v>
      </c>
      <c r="C185" s="4">
        <f t="shared" si="2"/>
        <v>2022</v>
      </c>
      <c r="D185" s="4">
        <f>MONTH(Table2[[#This Row],[Purchase Date]])</f>
        <v>5</v>
      </c>
      <c r="E185" s="5">
        <v>44690</v>
      </c>
      <c r="F185" s="4" t="s">
        <v>87</v>
      </c>
      <c r="G185" s="6">
        <v>89.3</v>
      </c>
      <c r="H185" s="4" t="s">
        <v>13</v>
      </c>
      <c r="I185" s="4" t="s">
        <v>47</v>
      </c>
      <c r="J185" s="4" t="s">
        <v>29</v>
      </c>
    </row>
    <row r="186" spans="1:10" ht="15.6" x14ac:dyDescent="0.3">
      <c r="A186" s="4" t="s">
        <v>392</v>
      </c>
      <c r="B186" s="4" t="s">
        <v>393</v>
      </c>
      <c r="C186" s="4">
        <f t="shared" si="2"/>
        <v>2022</v>
      </c>
      <c r="D186" s="4">
        <f>MONTH(Table2[[#This Row],[Purchase Date]])</f>
        <v>5</v>
      </c>
      <c r="E186" s="5">
        <v>44697</v>
      </c>
      <c r="F186" s="4" t="s">
        <v>69</v>
      </c>
      <c r="G186" s="6">
        <v>188.37</v>
      </c>
      <c r="H186" s="4" t="s">
        <v>19</v>
      </c>
      <c r="I186" s="4" t="s">
        <v>36</v>
      </c>
      <c r="J186" s="4" t="s">
        <v>15</v>
      </c>
    </row>
    <row r="187" spans="1:10" ht="15.6" x14ac:dyDescent="0.3">
      <c r="A187" s="4" t="s">
        <v>394</v>
      </c>
      <c r="B187" s="4" t="s">
        <v>395</v>
      </c>
      <c r="C187" s="4">
        <f t="shared" si="2"/>
        <v>2022</v>
      </c>
      <c r="D187" s="4">
        <f>MONTH(Table2[[#This Row],[Purchase Date]])</f>
        <v>6</v>
      </c>
      <c r="E187" s="5">
        <v>44722</v>
      </c>
      <c r="F187" s="4" t="s">
        <v>111</v>
      </c>
      <c r="G187" s="6">
        <v>717.58</v>
      </c>
      <c r="H187" s="4" t="s">
        <v>46</v>
      </c>
      <c r="I187" s="4" t="s">
        <v>20</v>
      </c>
      <c r="J187" s="4" t="s">
        <v>29</v>
      </c>
    </row>
    <row r="188" spans="1:10" ht="15.6" x14ac:dyDescent="0.3">
      <c r="A188" s="4" t="s">
        <v>396</v>
      </c>
      <c r="B188" s="4" t="s">
        <v>397</v>
      </c>
      <c r="C188" s="4">
        <f t="shared" si="2"/>
        <v>2022</v>
      </c>
      <c r="D188" s="4">
        <f>MONTH(Table2[[#This Row],[Purchase Date]])</f>
        <v>6</v>
      </c>
      <c r="E188" s="5">
        <v>44722</v>
      </c>
      <c r="F188" s="4" t="s">
        <v>69</v>
      </c>
      <c r="G188" s="6">
        <v>391.39</v>
      </c>
      <c r="H188" s="4" t="s">
        <v>19</v>
      </c>
      <c r="I188" s="4" t="s">
        <v>20</v>
      </c>
      <c r="J188" s="4" t="s">
        <v>29</v>
      </c>
    </row>
    <row r="189" spans="1:10" ht="15.6" x14ac:dyDescent="0.3">
      <c r="A189" s="4" t="s">
        <v>398</v>
      </c>
      <c r="B189" s="4" t="s">
        <v>399</v>
      </c>
      <c r="C189" s="4">
        <f t="shared" si="2"/>
        <v>2022</v>
      </c>
      <c r="D189" s="4">
        <f>MONTH(Table2[[#This Row],[Purchase Date]])</f>
        <v>6</v>
      </c>
      <c r="E189" s="5">
        <v>44723</v>
      </c>
      <c r="F189" s="4" t="s">
        <v>35</v>
      </c>
      <c r="G189" s="6">
        <v>1323.33</v>
      </c>
      <c r="H189" s="4" t="s">
        <v>19</v>
      </c>
      <c r="I189" s="4" t="s">
        <v>36</v>
      </c>
      <c r="J189" s="4" t="s">
        <v>21</v>
      </c>
    </row>
    <row r="190" spans="1:10" ht="15.6" x14ac:dyDescent="0.3">
      <c r="A190" s="4" t="s">
        <v>400</v>
      </c>
      <c r="B190" s="4" t="s">
        <v>401</v>
      </c>
      <c r="C190" s="4">
        <f t="shared" si="2"/>
        <v>2022</v>
      </c>
      <c r="D190" s="4">
        <f>MONTH(Table2[[#This Row],[Purchase Date]])</f>
        <v>6</v>
      </c>
      <c r="E190" s="5">
        <v>44735</v>
      </c>
      <c r="F190" s="4" t="s">
        <v>24</v>
      </c>
      <c r="G190" s="6">
        <v>1376.16</v>
      </c>
      <c r="H190" s="4" t="s">
        <v>19</v>
      </c>
      <c r="I190" s="4" t="s">
        <v>47</v>
      </c>
      <c r="J190" s="4" t="s">
        <v>15</v>
      </c>
    </row>
    <row r="191" spans="1:10" ht="15.6" x14ac:dyDescent="0.3">
      <c r="A191" s="4" t="s">
        <v>402</v>
      </c>
      <c r="B191" s="4" t="s">
        <v>403</v>
      </c>
      <c r="C191" s="4">
        <f t="shared" si="2"/>
        <v>2022</v>
      </c>
      <c r="D191" s="4">
        <f>MONTH(Table2[[#This Row],[Purchase Date]])</f>
        <v>6</v>
      </c>
      <c r="E191" s="5">
        <v>44737</v>
      </c>
      <c r="F191" s="4" t="s">
        <v>52</v>
      </c>
      <c r="G191" s="6">
        <v>1674.57</v>
      </c>
      <c r="H191" s="4" t="s">
        <v>19</v>
      </c>
      <c r="I191" s="4" t="s">
        <v>25</v>
      </c>
      <c r="J191" s="4" t="s">
        <v>21</v>
      </c>
    </row>
    <row r="192" spans="1:10" ht="15.6" x14ac:dyDescent="0.3">
      <c r="A192" s="4" t="s">
        <v>376</v>
      </c>
      <c r="B192" s="4" t="s">
        <v>404</v>
      </c>
      <c r="C192" s="4">
        <f t="shared" si="2"/>
        <v>2022</v>
      </c>
      <c r="D192" s="4">
        <f>MONTH(Table2[[#This Row],[Purchase Date]])</f>
        <v>7</v>
      </c>
      <c r="E192" s="5">
        <v>44773</v>
      </c>
      <c r="F192" s="4" t="s">
        <v>12</v>
      </c>
      <c r="G192" s="6">
        <v>1126.5999999999999</v>
      </c>
      <c r="H192" s="4" t="s">
        <v>13</v>
      </c>
      <c r="I192" s="4" t="s">
        <v>39</v>
      </c>
      <c r="J192" s="4" t="s">
        <v>15</v>
      </c>
    </row>
    <row r="193" spans="1:10" ht="15.6" x14ac:dyDescent="0.3">
      <c r="A193" s="4" t="s">
        <v>405</v>
      </c>
      <c r="B193" s="4" t="s">
        <v>406</v>
      </c>
      <c r="C193" s="4">
        <f t="shared" si="2"/>
        <v>2022</v>
      </c>
      <c r="D193" s="4">
        <f>MONTH(Table2[[#This Row],[Purchase Date]])</f>
        <v>8</v>
      </c>
      <c r="E193" s="5">
        <v>44796</v>
      </c>
      <c r="F193" s="4" t="s">
        <v>111</v>
      </c>
      <c r="G193" s="6">
        <v>1228.47</v>
      </c>
      <c r="H193" s="4" t="s">
        <v>19</v>
      </c>
      <c r="I193" s="4" t="s">
        <v>20</v>
      </c>
      <c r="J193" s="4" t="s">
        <v>15</v>
      </c>
    </row>
    <row r="194" spans="1:10" ht="15.6" x14ac:dyDescent="0.3">
      <c r="A194" s="4" t="s">
        <v>407</v>
      </c>
      <c r="B194" s="4" t="s">
        <v>408</v>
      </c>
      <c r="C194" s="4">
        <f t="shared" si="2"/>
        <v>2022</v>
      </c>
      <c r="D194" s="4">
        <f>MONTH(Table2[[#This Row],[Purchase Date]])</f>
        <v>9</v>
      </c>
      <c r="E194" s="5">
        <v>44806</v>
      </c>
      <c r="F194" s="4" t="s">
        <v>24</v>
      </c>
      <c r="G194" s="6">
        <v>268.52</v>
      </c>
      <c r="H194" s="4" t="s">
        <v>19</v>
      </c>
      <c r="I194" s="4" t="s">
        <v>106</v>
      </c>
      <c r="J194" s="4" t="s">
        <v>21</v>
      </c>
    </row>
    <row r="195" spans="1:10" ht="15.6" x14ac:dyDescent="0.3">
      <c r="A195" s="4" t="s">
        <v>409</v>
      </c>
      <c r="B195" s="4" t="s">
        <v>410</v>
      </c>
      <c r="C195" s="4">
        <f t="shared" ref="C195:C245" si="3">YEAR(E195)</f>
        <v>2022</v>
      </c>
      <c r="D195" s="4">
        <f>MONTH(Table2[[#This Row],[Purchase Date]])</f>
        <v>9</v>
      </c>
      <c r="E195" s="5">
        <v>44807</v>
      </c>
      <c r="F195" s="4" t="s">
        <v>80</v>
      </c>
      <c r="G195" s="6">
        <v>633.74</v>
      </c>
      <c r="H195" s="4" t="s">
        <v>13</v>
      </c>
      <c r="I195" s="4" t="s">
        <v>53</v>
      </c>
      <c r="J195" s="4" t="s">
        <v>15</v>
      </c>
    </row>
    <row r="196" spans="1:10" ht="15.6" x14ac:dyDescent="0.3">
      <c r="A196" s="4" t="s">
        <v>411</v>
      </c>
      <c r="B196" s="4" t="s">
        <v>412</v>
      </c>
      <c r="C196" s="4">
        <f t="shared" si="3"/>
        <v>2022</v>
      </c>
      <c r="D196" s="4">
        <f>MONTH(Table2[[#This Row],[Purchase Date]])</f>
        <v>9</v>
      </c>
      <c r="E196" s="5">
        <v>44808</v>
      </c>
      <c r="F196" s="4" t="s">
        <v>12</v>
      </c>
      <c r="G196" s="6">
        <v>1142.27</v>
      </c>
      <c r="H196" s="4" t="s">
        <v>19</v>
      </c>
      <c r="I196" s="4" t="s">
        <v>25</v>
      </c>
      <c r="J196" s="4" t="s">
        <v>29</v>
      </c>
    </row>
    <row r="197" spans="1:10" ht="15.6" x14ac:dyDescent="0.3">
      <c r="A197" s="4" t="s">
        <v>413</v>
      </c>
      <c r="B197" s="4" t="s">
        <v>414</v>
      </c>
      <c r="C197" s="4">
        <f t="shared" si="3"/>
        <v>2022</v>
      </c>
      <c r="D197" s="4">
        <f>MONTH(Table2[[#This Row],[Purchase Date]])</f>
        <v>9</v>
      </c>
      <c r="E197" s="5">
        <v>44810</v>
      </c>
      <c r="F197" s="4" t="s">
        <v>18</v>
      </c>
      <c r="G197" s="6">
        <v>941.64</v>
      </c>
      <c r="H197" s="4" t="s">
        <v>46</v>
      </c>
      <c r="I197" s="4" t="s">
        <v>32</v>
      </c>
      <c r="J197" s="4" t="s">
        <v>15</v>
      </c>
    </row>
    <row r="198" spans="1:10" ht="15.6" x14ac:dyDescent="0.3">
      <c r="A198" s="4" t="s">
        <v>415</v>
      </c>
      <c r="B198" s="4" t="s">
        <v>416</v>
      </c>
      <c r="C198" s="4">
        <f t="shared" si="3"/>
        <v>2022</v>
      </c>
      <c r="D198" s="4">
        <f>MONTH(Table2[[#This Row],[Purchase Date]])</f>
        <v>9</v>
      </c>
      <c r="E198" s="5">
        <v>44833</v>
      </c>
      <c r="F198" s="4" t="s">
        <v>28</v>
      </c>
      <c r="G198" s="6">
        <v>1752.17</v>
      </c>
      <c r="H198" s="4" t="s">
        <v>46</v>
      </c>
      <c r="I198" s="4" t="s">
        <v>25</v>
      </c>
      <c r="J198" s="4" t="s">
        <v>21</v>
      </c>
    </row>
    <row r="199" spans="1:10" ht="15.6" x14ac:dyDescent="0.3">
      <c r="A199" s="4" t="s">
        <v>417</v>
      </c>
      <c r="B199" s="4" t="s">
        <v>418</v>
      </c>
      <c r="C199" s="4">
        <f t="shared" si="3"/>
        <v>2022</v>
      </c>
      <c r="D199" s="4">
        <f>MONTH(Table2[[#This Row],[Purchase Date]])</f>
        <v>10</v>
      </c>
      <c r="E199" s="5">
        <v>44847</v>
      </c>
      <c r="F199" s="4" t="s">
        <v>52</v>
      </c>
      <c r="G199" s="6">
        <v>1900.69</v>
      </c>
      <c r="H199" s="4" t="s">
        <v>13</v>
      </c>
      <c r="I199" s="4" t="s">
        <v>25</v>
      </c>
      <c r="J199" s="4" t="s">
        <v>29</v>
      </c>
    </row>
    <row r="200" spans="1:10" ht="15.6" x14ac:dyDescent="0.3">
      <c r="A200" s="4" t="s">
        <v>419</v>
      </c>
      <c r="B200" s="4" t="s">
        <v>420</v>
      </c>
      <c r="C200" s="4">
        <f t="shared" si="3"/>
        <v>2022</v>
      </c>
      <c r="D200" s="4">
        <f>MONTH(Table2[[#This Row],[Purchase Date]])</f>
        <v>10</v>
      </c>
      <c r="E200" s="5">
        <v>44861</v>
      </c>
      <c r="F200" s="4" t="s">
        <v>24</v>
      </c>
      <c r="G200" s="6">
        <v>410.29</v>
      </c>
      <c r="H200" s="4" t="s">
        <v>19</v>
      </c>
      <c r="I200" s="4" t="s">
        <v>32</v>
      </c>
      <c r="J200" s="4" t="s">
        <v>15</v>
      </c>
    </row>
    <row r="201" spans="1:10" ht="15.6" x14ac:dyDescent="0.3">
      <c r="A201" s="4" t="s">
        <v>372</v>
      </c>
      <c r="B201" s="4" t="s">
        <v>421</v>
      </c>
      <c r="C201" s="4">
        <f t="shared" si="3"/>
        <v>2022</v>
      </c>
      <c r="D201" s="4">
        <f>MONTH(Table2[[#This Row],[Purchase Date]])</f>
        <v>11</v>
      </c>
      <c r="E201" s="5">
        <v>44870</v>
      </c>
      <c r="F201" s="4" t="s">
        <v>52</v>
      </c>
      <c r="G201" s="6">
        <v>1649.47</v>
      </c>
      <c r="H201" s="4" t="s">
        <v>46</v>
      </c>
      <c r="I201" s="4" t="s">
        <v>47</v>
      </c>
      <c r="J201" s="4" t="s">
        <v>21</v>
      </c>
    </row>
    <row r="202" spans="1:10" ht="15.6" x14ac:dyDescent="0.3">
      <c r="A202" s="4" t="s">
        <v>422</v>
      </c>
      <c r="B202" s="4" t="s">
        <v>423</v>
      </c>
      <c r="C202" s="4">
        <f t="shared" si="3"/>
        <v>2022</v>
      </c>
      <c r="D202" s="4">
        <f>MONTH(Table2[[#This Row],[Purchase Date]])</f>
        <v>12</v>
      </c>
      <c r="E202" s="5">
        <v>44921</v>
      </c>
      <c r="F202" s="4" t="s">
        <v>69</v>
      </c>
      <c r="G202" s="6">
        <v>868.59</v>
      </c>
      <c r="H202" s="4" t="s">
        <v>13</v>
      </c>
      <c r="I202" s="4" t="s">
        <v>36</v>
      </c>
      <c r="J202" s="4" t="s">
        <v>21</v>
      </c>
    </row>
    <row r="203" spans="1:10" ht="15.6" x14ac:dyDescent="0.3">
      <c r="A203" s="4" t="s">
        <v>424</v>
      </c>
      <c r="B203" s="4" t="s">
        <v>425</v>
      </c>
      <c r="C203" s="4">
        <f t="shared" si="3"/>
        <v>2022</v>
      </c>
      <c r="D203" s="4">
        <f>MONTH(Table2[[#This Row],[Purchase Date]])</f>
        <v>12</v>
      </c>
      <c r="E203" s="5">
        <v>44921</v>
      </c>
      <c r="F203" s="4" t="s">
        <v>87</v>
      </c>
      <c r="G203" s="6">
        <v>743.28</v>
      </c>
      <c r="H203" s="4" t="s">
        <v>13</v>
      </c>
      <c r="I203" s="4" t="s">
        <v>64</v>
      </c>
      <c r="J203" s="4" t="s">
        <v>15</v>
      </c>
    </row>
    <row r="204" spans="1:10" ht="15.6" x14ac:dyDescent="0.3">
      <c r="A204" s="4" t="s">
        <v>173</v>
      </c>
      <c r="B204" s="4" t="s">
        <v>426</v>
      </c>
      <c r="C204" s="4">
        <f t="shared" si="3"/>
        <v>2022</v>
      </c>
      <c r="D204" s="4">
        <f>MONTH(Table2[[#This Row],[Purchase Date]])</f>
        <v>12</v>
      </c>
      <c r="E204" s="5">
        <v>44922</v>
      </c>
      <c r="F204" s="4" t="s">
        <v>35</v>
      </c>
      <c r="G204" s="6">
        <v>1488.39</v>
      </c>
      <c r="H204" s="4" t="s">
        <v>46</v>
      </c>
      <c r="I204" s="4" t="s">
        <v>14</v>
      </c>
      <c r="J204" s="4" t="s">
        <v>21</v>
      </c>
    </row>
    <row r="205" spans="1:10" ht="15.6" x14ac:dyDescent="0.3">
      <c r="A205" s="4" t="s">
        <v>297</v>
      </c>
      <c r="B205" s="4" t="s">
        <v>427</v>
      </c>
      <c r="C205" s="4">
        <f t="shared" si="3"/>
        <v>2022</v>
      </c>
      <c r="D205" s="4">
        <f>MONTH(Table2[[#This Row],[Purchase Date]])</f>
        <v>12</v>
      </c>
      <c r="E205" s="5">
        <v>44923</v>
      </c>
      <c r="F205" s="4" t="s">
        <v>28</v>
      </c>
      <c r="G205" s="6">
        <v>1090.97</v>
      </c>
      <c r="H205" s="4" t="s">
        <v>19</v>
      </c>
      <c r="I205" s="4" t="s">
        <v>14</v>
      </c>
      <c r="J205" s="4" t="s">
        <v>29</v>
      </c>
    </row>
    <row r="206" spans="1:10" ht="15.6" x14ac:dyDescent="0.3">
      <c r="A206" s="4" t="s">
        <v>428</v>
      </c>
      <c r="B206" s="4" t="s">
        <v>429</v>
      </c>
      <c r="C206" s="4">
        <f t="shared" si="3"/>
        <v>2022</v>
      </c>
      <c r="D206" s="4">
        <f>MONTH(Table2[[#This Row],[Purchase Date]])</f>
        <v>12</v>
      </c>
      <c r="E206" s="5">
        <v>44924</v>
      </c>
      <c r="F206" s="4" t="s">
        <v>24</v>
      </c>
      <c r="G206" s="6">
        <v>1695.29</v>
      </c>
      <c r="H206" s="4" t="s">
        <v>13</v>
      </c>
      <c r="I206" s="4" t="s">
        <v>20</v>
      </c>
      <c r="J206" s="4" t="s">
        <v>15</v>
      </c>
    </row>
    <row r="207" spans="1:10" ht="15.6" x14ac:dyDescent="0.3">
      <c r="A207" s="4" t="s">
        <v>430</v>
      </c>
      <c r="B207" s="4" t="s">
        <v>431</v>
      </c>
      <c r="C207" s="4">
        <f t="shared" si="3"/>
        <v>2023</v>
      </c>
      <c r="D207" s="4">
        <f>MONTH(Table2[[#This Row],[Purchase Date]])</f>
        <v>1</v>
      </c>
      <c r="E207" s="5">
        <v>44942</v>
      </c>
      <c r="F207" s="4" t="s">
        <v>111</v>
      </c>
      <c r="G207" s="6">
        <v>1904.8</v>
      </c>
      <c r="H207" s="4" t="s">
        <v>46</v>
      </c>
      <c r="I207" s="4" t="s">
        <v>47</v>
      </c>
      <c r="J207" s="4" t="s">
        <v>15</v>
      </c>
    </row>
    <row r="208" spans="1:10" ht="15.6" x14ac:dyDescent="0.3">
      <c r="A208" s="4" t="s">
        <v>286</v>
      </c>
      <c r="B208" s="4" t="s">
        <v>432</v>
      </c>
      <c r="C208" s="4">
        <f t="shared" si="3"/>
        <v>2023</v>
      </c>
      <c r="D208" s="4">
        <f>MONTH(Table2[[#This Row],[Purchase Date]])</f>
        <v>1</v>
      </c>
      <c r="E208" s="5">
        <v>44951</v>
      </c>
      <c r="F208" s="4" t="s">
        <v>52</v>
      </c>
      <c r="G208" s="6">
        <v>346.24</v>
      </c>
      <c r="H208" s="4" t="s">
        <v>19</v>
      </c>
      <c r="I208" s="4" t="s">
        <v>14</v>
      </c>
      <c r="J208" s="4" t="s">
        <v>15</v>
      </c>
    </row>
    <row r="209" spans="1:10" ht="15.6" x14ac:dyDescent="0.3">
      <c r="A209" s="4" t="s">
        <v>433</v>
      </c>
      <c r="B209" s="4" t="s">
        <v>434</v>
      </c>
      <c r="C209" s="4">
        <f t="shared" si="3"/>
        <v>2023</v>
      </c>
      <c r="D209" s="4">
        <f>MONTH(Table2[[#This Row],[Purchase Date]])</f>
        <v>3</v>
      </c>
      <c r="E209" s="5">
        <v>44998</v>
      </c>
      <c r="F209" s="4" t="s">
        <v>87</v>
      </c>
      <c r="G209" s="6">
        <v>1616.09</v>
      </c>
      <c r="H209" s="4" t="s">
        <v>46</v>
      </c>
      <c r="I209" s="4" t="s">
        <v>36</v>
      </c>
      <c r="J209" s="4" t="s">
        <v>15</v>
      </c>
    </row>
    <row r="210" spans="1:10" ht="15.6" x14ac:dyDescent="0.3">
      <c r="A210" s="4" t="s">
        <v>435</v>
      </c>
      <c r="B210" s="4" t="s">
        <v>436</v>
      </c>
      <c r="C210" s="4">
        <f t="shared" si="3"/>
        <v>2023</v>
      </c>
      <c r="D210" s="4">
        <f>MONTH(Table2[[#This Row],[Purchase Date]])</f>
        <v>4</v>
      </c>
      <c r="E210" s="5">
        <v>45019</v>
      </c>
      <c r="F210" s="4" t="s">
        <v>87</v>
      </c>
      <c r="G210" s="6">
        <v>709.33</v>
      </c>
      <c r="H210" s="4" t="s">
        <v>46</v>
      </c>
      <c r="I210" s="4" t="s">
        <v>47</v>
      </c>
      <c r="J210" s="4" t="s">
        <v>29</v>
      </c>
    </row>
    <row r="211" spans="1:10" ht="15.6" x14ac:dyDescent="0.3">
      <c r="A211" s="4" t="s">
        <v>437</v>
      </c>
      <c r="B211" s="4" t="s">
        <v>438</v>
      </c>
      <c r="C211" s="4">
        <f t="shared" si="3"/>
        <v>2023</v>
      </c>
      <c r="D211" s="4">
        <f>MONTH(Table2[[#This Row],[Purchase Date]])</f>
        <v>4</v>
      </c>
      <c r="E211" s="5">
        <v>45022</v>
      </c>
      <c r="F211" s="4" t="s">
        <v>24</v>
      </c>
      <c r="G211" s="6">
        <v>1853.95</v>
      </c>
      <c r="H211" s="4" t="s">
        <v>19</v>
      </c>
      <c r="I211" s="4" t="s">
        <v>20</v>
      </c>
      <c r="J211" s="4" t="s">
        <v>15</v>
      </c>
    </row>
    <row r="212" spans="1:10" ht="15.6" x14ac:dyDescent="0.3">
      <c r="A212" s="4" t="s">
        <v>230</v>
      </c>
      <c r="B212" s="4" t="s">
        <v>439</v>
      </c>
      <c r="C212" s="4">
        <f t="shared" si="3"/>
        <v>2023</v>
      </c>
      <c r="D212" s="4">
        <f>MONTH(Table2[[#This Row],[Purchase Date]])</f>
        <v>4</v>
      </c>
      <c r="E212" s="5">
        <v>45027</v>
      </c>
      <c r="F212" s="4" t="s">
        <v>52</v>
      </c>
      <c r="G212" s="6">
        <v>353.13</v>
      </c>
      <c r="H212" s="4" t="s">
        <v>19</v>
      </c>
      <c r="I212" s="4" t="s">
        <v>39</v>
      </c>
      <c r="J212" s="4" t="s">
        <v>29</v>
      </c>
    </row>
    <row r="213" spans="1:10" ht="15.6" x14ac:dyDescent="0.3">
      <c r="A213" s="4" t="s">
        <v>440</v>
      </c>
      <c r="B213" s="4" t="s">
        <v>441</v>
      </c>
      <c r="C213" s="4">
        <f t="shared" si="3"/>
        <v>2023</v>
      </c>
      <c r="D213" s="4">
        <f>MONTH(Table2[[#This Row],[Purchase Date]])</f>
        <v>4</v>
      </c>
      <c r="E213" s="5">
        <v>45029</v>
      </c>
      <c r="F213" s="4" t="s">
        <v>69</v>
      </c>
      <c r="G213" s="6">
        <v>729.37</v>
      </c>
      <c r="H213" s="4" t="s">
        <v>46</v>
      </c>
      <c r="I213" s="4" t="s">
        <v>64</v>
      </c>
      <c r="J213" s="4" t="s">
        <v>21</v>
      </c>
    </row>
    <row r="214" spans="1:10" ht="15.6" x14ac:dyDescent="0.3">
      <c r="A214" s="4" t="s">
        <v>442</v>
      </c>
      <c r="B214" s="4" t="s">
        <v>443</v>
      </c>
      <c r="C214" s="4">
        <f t="shared" si="3"/>
        <v>2023</v>
      </c>
      <c r="D214" s="4">
        <f>MONTH(Table2[[#This Row],[Purchase Date]])</f>
        <v>6</v>
      </c>
      <c r="E214" s="5">
        <v>45079</v>
      </c>
      <c r="F214" s="4" t="s">
        <v>12</v>
      </c>
      <c r="G214" s="6">
        <v>528.86</v>
      </c>
      <c r="H214" s="4" t="s">
        <v>13</v>
      </c>
      <c r="I214" s="4" t="s">
        <v>47</v>
      </c>
      <c r="J214" s="4" t="s">
        <v>21</v>
      </c>
    </row>
    <row r="215" spans="1:10" ht="15.6" x14ac:dyDescent="0.3">
      <c r="A215" s="4" t="s">
        <v>444</v>
      </c>
      <c r="B215" s="4" t="s">
        <v>445</v>
      </c>
      <c r="C215" s="4">
        <f t="shared" si="3"/>
        <v>2023</v>
      </c>
      <c r="D215" s="4">
        <f>MONTH(Table2[[#This Row],[Purchase Date]])</f>
        <v>6</v>
      </c>
      <c r="E215" s="5">
        <v>45093</v>
      </c>
      <c r="F215" s="4" t="s">
        <v>52</v>
      </c>
      <c r="G215" s="6">
        <v>73.260000000000005</v>
      </c>
      <c r="H215" s="4" t="s">
        <v>46</v>
      </c>
      <c r="I215" s="4" t="s">
        <v>25</v>
      </c>
      <c r="J215" s="4" t="s">
        <v>21</v>
      </c>
    </row>
    <row r="216" spans="1:10" ht="15.6" x14ac:dyDescent="0.3">
      <c r="A216" s="4" t="s">
        <v>446</v>
      </c>
      <c r="B216" s="4" t="s">
        <v>447</v>
      </c>
      <c r="C216" s="4">
        <f t="shared" si="3"/>
        <v>2023</v>
      </c>
      <c r="D216" s="4">
        <f>MONTH(Table2[[#This Row],[Purchase Date]])</f>
        <v>6</v>
      </c>
      <c r="E216" s="5">
        <v>45103</v>
      </c>
      <c r="F216" s="4" t="s">
        <v>52</v>
      </c>
      <c r="G216" s="6">
        <v>1266.82</v>
      </c>
      <c r="H216" s="4" t="s">
        <v>13</v>
      </c>
      <c r="I216" s="4" t="s">
        <v>106</v>
      </c>
      <c r="J216" s="4" t="s">
        <v>29</v>
      </c>
    </row>
    <row r="217" spans="1:10" ht="15.6" x14ac:dyDescent="0.3">
      <c r="A217" s="4" t="s">
        <v>448</v>
      </c>
      <c r="B217" s="4" t="s">
        <v>449</v>
      </c>
      <c r="C217" s="4">
        <f t="shared" si="3"/>
        <v>2023</v>
      </c>
      <c r="D217" s="4">
        <f>MONTH(Table2[[#This Row],[Purchase Date]])</f>
        <v>7</v>
      </c>
      <c r="E217" s="5">
        <v>45121</v>
      </c>
      <c r="F217" s="4" t="s">
        <v>52</v>
      </c>
      <c r="G217" s="6">
        <v>1556.42</v>
      </c>
      <c r="H217" s="4" t="s">
        <v>19</v>
      </c>
      <c r="I217" s="4" t="s">
        <v>25</v>
      </c>
      <c r="J217" s="4" t="s">
        <v>15</v>
      </c>
    </row>
    <row r="218" spans="1:10" ht="15.6" x14ac:dyDescent="0.3">
      <c r="A218" s="4" t="s">
        <v>450</v>
      </c>
      <c r="B218" s="4" t="s">
        <v>451</v>
      </c>
      <c r="C218" s="4">
        <f t="shared" si="3"/>
        <v>2023</v>
      </c>
      <c r="D218" s="4">
        <f>MONTH(Table2[[#This Row],[Purchase Date]])</f>
        <v>7</v>
      </c>
      <c r="E218" s="5">
        <v>45130</v>
      </c>
      <c r="F218" s="4" t="s">
        <v>24</v>
      </c>
      <c r="G218" s="6">
        <v>117.88</v>
      </c>
      <c r="H218" s="4" t="s">
        <v>13</v>
      </c>
      <c r="I218" s="4" t="s">
        <v>36</v>
      </c>
      <c r="J218" s="4" t="s">
        <v>21</v>
      </c>
    </row>
    <row r="219" spans="1:10" ht="15.6" x14ac:dyDescent="0.3">
      <c r="A219" s="4" t="s">
        <v>452</v>
      </c>
      <c r="B219" s="4" t="s">
        <v>453</v>
      </c>
      <c r="C219" s="4">
        <f t="shared" si="3"/>
        <v>2023</v>
      </c>
      <c r="D219" s="4">
        <f>MONTH(Table2[[#This Row],[Purchase Date]])</f>
        <v>7</v>
      </c>
      <c r="E219" s="5">
        <v>45132</v>
      </c>
      <c r="F219" s="4" t="s">
        <v>35</v>
      </c>
      <c r="G219" s="6">
        <v>640.5</v>
      </c>
      <c r="H219" s="4" t="s">
        <v>19</v>
      </c>
      <c r="I219" s="4" t="s">
        <v>36</v>
      </c>
      <c r="J219" s="4" t="s">
        <v>15</v>
      </c>
    </row>
    <row r="220" spans="1:10" ht="15.6" x14ac:dyDescent="0.3">
      <c r="A220" s="4" t="s">
        <v>454</v>
      </c>
      <c r="B220" s="4" t="s">
        <v>455</v>
      </c>
      <c r="C220" s="4">
        <f t="shared" si="3"/>
        <v>2023</v>
      </c>
      <c r="D220" s="4">
        <f>MONTH(Table2[[#This Row],[Purchase Date]])</f>
        <v>8</v>
      </c>
      <c r="E220" s="5">
        <v>45147</v>
      </c>
      <c r="F220" s="4" t="s">
        <v>28</v>
      </c>
      <c r="G220" s="6">
        <v>327.23</v>
      </c>
      <c r="H220" s="4" t="s">
        <v>46</v>
      </c>
      <c r="I220" s="4" t="s">
        <v>32</v>
      </c>
      <c r="J220" s="4" t="s">
        <v>15</v>
      </c>
    </row>
    <row r="221" spans="1:10" ht="15.6" x14ac:dyDescent="0.3">
      <c r="A221" s="4" t="s">
        <v>456</v>
      </c>
      <c r="B221" s="4" t="s">
        <v>457</v>
      </c>
      <c r="C221" s="4">
        <f t="shared" si="3"/>
        <v>2023</v>
      </c>
      <c r="D221" s="4">
        <f>MONTH(Table2[[#This Row],[Purchase Date]])</f>
        <v>8</v>
      </c>
      <c r="E221" s="5">
        <v>45148</v>
      </c>
      <c r="F221" s="4" t="s">
        <v>52</v>
      </c>
      <c r="G221" s="6">
        <v>1715.77</v>
      </c>
      <c r="H221" s="4" t="s">
        <v>46</v>
      </c>
      <c r="I221" s="4" t="s">
        <v>64</v>
      </c>
      <c r="J221" s="4" t="s">
        <v>29</v>
      </c>
    </row>
    <row r="222" spans="1:10" ht="15.6" x14ac:dyDescent="0.3">
      <c r="A222" s="4" t="s">
        <v>458</v>
      </c>
      <c r="B222" s="4" t="s">
        <v>459</v>
      </c>
      <c r="C222" s="4">
        <f t="shared" si="3"/>
        <v>2023</v>
      </c>
      <c r="D222" s="4">
        <f>MONTH(Table2[[#This Row],[Purchase Date]])</f>
        <v>8</v>
      </c>
      <c r="E222" s="5">
        <v>45148</v>
      </c>
      <c r="F222" s="4" t="s">
        <v>111</v>
      </c>
      <c r="G222" s="6">
        <v>726.73</v>
      </c>
      <c r="H222" s="4" t="s">
        <v>19</v>
      </c>
      <c r="I222" s="4" t="s">
        <v>47</v>
      </c>
      <c r="J222" s="4" t="s">
        <v>29</v>
      </c>
    </row>
    <row r="223" spans="1:10" ht="15.6" x14ac:dyDescent="0.3">
      <c r="A223" s="4" t="s">
        <v>460</v>
      </c>
      <c r="B223" s="4" t="s">
        <v>461</v>
      </c>
      <c r="C223" s="4">
        <f t="shared" si="3"/>
        <v>2023</v>
      </c>
      <c r="D223" s="4">
        <f>MONTH(Table2[[#This Row],[Purchase Date]])</f>
        <v>9</v>
      </c>
      <c r="E223" s="5">
        <v>45186</v>
      </c>
      <c r="F223" s="4" t="s">
        <v>52</v>
      </c>
      <c r="G223" s="6">
        <v>336.64</v>
      </c>
      <c r="H223" s="4" t="s">
        <v>13</v>
      </c>
      <c r="I223" s="4" t="s">
        <v>47</v>
      </c>
      <c r="J223" s="4" t="s">
        <v>15</v>
      </c>
    </row>
    <row r="224" spans="1:10" ht="15.6" x14ac:dyDescent="0.3">
      <c r="A224" s="4" t="s">
        <v>462</v>
      </c>
      <c r="B224" s="4" t="s">
        <v>463</v>
      </c>
      <c r="C224" s="4">
        <f t="shared" si="3"/>
        <v>2023</v>
      </c>
      <c r="D224" s="4">
        <f>MONTH(Table2[[#This Row],[Purchase Date]])</f>
        <v>9</v>
      </c>
      <c r="E224" s="5">
        <v>45197</v>
      </c>
      <c r="F224" s="4" t="s">
        <v>111</v>
      </c>
      <c r="G224" s="6">
        <v>1578.61</v>
      </c>
      <c r="H224" s="4" t="s">
        <v>46</v>
      </c>
      <c r="I224" s="4" t="s">
        <v>39</v>
      </c>
      <c r="J224" s="4" t="s">
        <v>29</v>
      </c>
    </row>
    <row r="225" spans="1:10" ht="15.6" x14ac:dyDescent="0.3">
      <c r="A225" s="4" t="s">
        <v>464</v>
      </c>
      <c r="B225" s="4" t="s">
        <v>465</v>
      </c>
      <c r="C225" s="4">
        <f t="shared" si="3"/>
        <v>2023</v>
      </c>
      <c r="D225" s="4">
        <f>MONTH(Table2[[#This Row],[Purchase Date]])</f>
        <v>10</v>
      </c>
      <c r="E225" s="5">
        <v>45213</v>
      </c>
      <c r="F225" s="4" t="s">
        <v>24</v>
      </c>
      <c r="G225" s="6">
        <v>1178.76</v>
      </c>
      <c r="H225" s="4" t="s">
        <v>13</v>
      </c>
      <c r="I225" s="4" t="s">
        <v>53</v>
      </c>
      <c r="J225" s="4" t="s">
        <v>15</v>
      </c>
    </row>
    <row r="226" spans="1:10" ht="15.6" x14ac:dyDescent="0.3">
      <c r="A226" s="4" t="s">
        <v>466</v>
      </c>
      <c r="B226" s="4" t="s">
        <v>467</v>
      </c>
      <c r="C226" s="4">
        <f t="shared" si="3"/>
        <v>2023</v>
      </c>
      <c r="D226" s="4">
        <f>MONTH(Table2[[#This Row],[Purchase Date]])</f>
        <v>10</v>
      </c>
      <c r="E226" s="5">
        <v>45224</v>
      </c>
      <c r="F226" s="4" t="s">
        <v>18</v>
      </c>
      <c r="G226" s="6">
        <v>229.56</v>
      </c>
      <c r="H226" s="4" t="s">
        <v>46</v>
      </c>
      <c r="I226" s="4" t="s">
        <v>14</v>
      </c>
      <c r="J226" s="4" t="s">
        <v>15</v>
      </c>
    </row>
    <row r="227" spans="1:10" ht="15.6" x14ac:dyDescent="0.3">
      <c r="A227" s="4" t="s">
        <v>468</v>
      </c>
      <c r="B227" s="4" t="s">
        <v>469</v>
      </c>
      <c r="C227" s="4">
        <f t="shared" si="3"/>
        <v>2023</v>
      </c>
      <c r="D227" s="4">
        <f>MONTH(Table2[[#This Row],[Purchase Date]])</f>
        <v>10</v>
      </c>
      <c r="E227" s="5">
        <v>45226</v>
      </c>
      <c r="F227" s="4" t="s">
        <v>24</v>
      </c>
      <c r="G227" s="6">
        <v>1549.79</v>
      </c>
      <c r="H227" s="4" t="s">
        <v>19</v>
      </c>
      <c r="I227" s="4" t="s">
        <v>39</v>
      </c>
      <c r="J227" s="4" t="s">
        <v>15</v>
      </c>
    </row>
    <row r="228" spans="1:10" ht="15.6" x14ac:dyDescent="0.3">
      <c r="A228" s="4" t="s">
        <v>470</v>
      </c>
      <c r="B228" s="4" t="s">
        <v>471</v>
      </c>
      <c r="C228" s="4">
        <f t="shared" si="3"/>
        <v>2023</v>
      </c>
      <c r="D228" s="4">
        <f>MONTH(Table2[[#This Row],[Purchase Date]])</f>
        <v>10</v>
      </c>
      <c r="E228" s="5">
        <v>45230</v>
      </c>
      <c r="F228" s="4" t="s">
        <v>28</v>
      </c>
      <c r="G228" s="6">
        <v>340.01</v>
      </c>
      <c r="H228" s="4" t="s">
        <v>19</v>
      </c>
      <c r="I228" s="4" t="s">
        <v>25</v>
      </c>
      <c r="J228" s="4" t="s">
        <v>21</v>
      </c>
    </row>
    <row r="229" spans="1:10" ht="15.6" x14ac:dyDescent="0.3">
      <c r="A229" s="4" t="s">
        <v>472</v>
      </c>
      <c r="B229" s="4" t="s">
        <v>473</v>
      </c>
      <c r="C229" s="4">
        <f t="shared" si="3"/>
        <v>2023</v>
      </c>
      <c r="D229" s="4">
        <f>MONTH(Table2[[#This Row],[Purchase Date]])</f>
        <v>11</v>
      </c>
      <c r="E229" s="5">
        <v>45231</v>
      </c>
      <c r="F229" s="4" t="s">
        <v>35</v>
      </c>
      <c r="G229" s="6">
        <v>291.70999999999998</v>
      </c>
      <c r="H229" s="4" t="s">
        <v>19</v>
      </c>
      <c r="I229" s="4" t="s">
        <v>32</v>
      </c>
      <c r="J229" s="4" t="s">
        <v>29</v>
      </c>
    </row>
    <row r="230" spans="1:10" ht="15.6" x14ac:dyDescent="0.3">
      <c r="A230" s="4" t="s">
        <v>474</v>
      </c>
      <c r="B230" s="4" t="s">
        <v>475</v>
      </c>
      <c r="C230" s="4">
        <f t="shared" si="3"/>
        <v>2023</v>
      </c>
      <c r="D230" s="4">
        <f>MONTH(Table2[[#This Row],[Purchase Date]])</f>
        <v>11</v>
      </c>
      <c r="E230" s="5">
        <v>45251</v>
      </c>
      <c r="F230" s="4" t="s">
        <v>18</v>
      </c>
      <c r="G230" s="6">
        <v>1591.65</v>
      </c>
      <c r="H230" s="4" t="s">
        <v>46</v>
      </c>
      <c r="I230" s="4" t="s">
        <v>106</v>
      </c>
      <c r="J230" s="4" t="s">
        <v>21</v>
      </c>
    </row>
    <row r="231" spans="1:10" ht="15.6" x14ac:dyDescent="0.3">
      <c r="A231" s="4" t="s">
        <v>476</v>
      </c>
      <c r="B231" s="4" t="s">
        <v>477</v>
      </c>
      <c r="C231" s="4">
        <f t="shared" si="3"/>
        <v>2023</v>
      </c>
      <c r="D231" s="4">
        <f>MONTH(Table2[[#This Row],[Purchase Date]])</f>
        <v>11</v>
      </c>
      <c r="E231" s="5">
        <v>45255</v>
      </c>
      <c r="F231" s="4" t="s">
        <v>35</v>
      </c>
      <c r="G231" s="6">
        <v>1635.61</v>
      </c>
      <c r="H231" s="4" t="s">
        <v>19</v>
      </c>
      <c r="I231" s="4" t="s">
        <v>20</v>
      </c>
      <c r="J231" s="4" t="s">
        <v>29</v>
      </c>
    </row>
    <row r="232" spans="1:10" ht="15.6" x14ac:dyDescent="0.3">
      <c r="A232" s="4" t="s">
        <v>478</v>
      </c>
      <c r="B232" s="4" t="s">
        <v>479</v>
      </c>
      <c r="C232" s="4">
        <f t="shared" si="3"/>
        <v>2023</v>
      </c>
      <c r="D232" s="4">
        <f>MONTH(Table2[[#This Row],[Purchase Date]])</f>
        <v>12</v>
      </c>
      <c r="E232" s="5">
        <v>45274</v>
      </c>
      <c r="F232" s="4" t="s">
        <v>52</v>
      </c>
      <c r="G232" s="6">
        <v>1417.34</v>
      </c>
      <c r="H232" s="4" t="s">
        <v>46</v>
      </c>
      <c r="I232" s="4" t="s">
        <v>47</v>
      </c>
      <c r="J232" s="4" t="s">
        <v>15</v>
      </c>
    </row>
    <row r="233" spans="1:10" ht="15.6" x14ac:dyDescent="0.3">
      <c r="A233" s="4" t="s">
        <v>480</v>
      </c>
      <c r="B233" s="4" t="s">
        <v>481</v>
      </c>
      <c r="C233" s="4">
        <f t="shared" si="3"/>
        <v>2023</v>
      </c>
      <c r="D233" s="4">
        <f>MONTH(Table2[[#This Row],[Purchase Date]])</f>
        <v>12</v>
      </c>
      <c r="E233" s="5">
        <v>45284</v>
      </c>
      <c r="F233" s="4" t="s">
        <v>28</v>
      </c>
      <c r="G233" s="6">
        <v>1228.29</v>
      </c>
      <c r="H233" s="4" t="s">
        <v>19</v>
      </c>
      <c r="I233" s="4" t="s">
        <v>20</v>
      </c>
      <c r="J233" s="4" t="s">
        <v>15</v>
      </c>
    </row>
    <row r="234" spans="1:10" ht="15.6" x14ac:dyDescent="0.3">
      <c r="A234" s="4" t="s">
        <v>482</v>
      </c>
      <c r="B234" s="4" t="s">
        <v>483</v>
      </c>
      <c r="C234" s="4">
        <f t="shared" si="3"/>
        <v>2024</v>
      </c>
      <c r="D234" s="4">
        <f>MONTH(Table2[[#This Row],[Purchase Date]])</f>
        <v>2</v>
      </c>
      <c r="E234" s="5">
        <v>45326</v>
      </c>
      <c r="F234" s="4" t="s">
        <v>80</v>
      </c>
      <c r="G234" s="6">
        <v>1743.85</v>
      </c>
      <c r="H234" s="4" t="s">
        <v>19</v>
      </c>
      <c r="I234" s="4" t="s">
        <v>36</v>
      </c>
      <c r="J234" s="4" t="s">
        <v>21</v>
      </c>
    </row>
    <row r="235" spans="1:10" ht="15.6" x14ac:dyDescent="0.3">
      <c r="A235" s="4" t="s">
        <v>484</v>
      </c>
      <c r="B235" s="4" t="s">
        <v>485</v>
      </c>
      <c r="C235" s="4">
        <f t="shared" si="3"/>
        <v>2024</v>
      </c>
      <c r="D235" s="4">
        <f>MONTH(Table2[[#This Row],[Purchase Date]])</f>
        <v>2</v>
      </c>
      <c r="E235" s="5">
        <v>45328</v>
      </c>
      <c r="F235" s="4" t="s">
        <v>111</v>
      </c>
      <c r="G235" s="6">
        <v>1686.07</v>
      </c>
      <c r="H235" s="4" t="s">
        <v>13</v>
      </c>
      <c r="I235" s="4" t="s">
        <v>14</v>
      </c>
      <c r="J235" s="4" t="s">
        <v>21</v>
      </c>
    </row>
    <row r="236" spans="1:10" ht="15.6" x14ac:dyDescent="0.3">
      <c r="A236" s="4" t="s">
        <v>486</v>
      </c>
      <c r="B236" s="4" t="s">
        <v>487</v>
      </c>
      <c r="C236" s="4">
        <f t="shared" si="3"/>
        <v>2024</v>
      </c>
      <c r="D236" s="4">
        <f>MONTH(Table2[[#This Row],[Purchase Date]])</f>
        <v>2</v>
      </c>
      <c r="E236" s="5">
        <v>45330</v>
      </c>
      <c r="F236" s="4" t="s">
        <v>52</v>
      </c>
      <c r="G236" s="6">
        <v>734.76</v>
      </c>
      <c r="H236" s="4" t="s">
        <v>19</v>
      </c>
      <c r="I236" s="4" t="s">
        <v>53</v>
      </c>
      <c r="J236" s="4" t="s">
        <v>29</v>
      </c>
    </row>
    <row r="237" spans="1:10" ht="15.6" x14ac:dyDescent="0.3">
      <c r="A237" s="4" t="s">
        <v>488</v>
      </c>
      <c r="B237" s="4" t="s">
        <v>489</v>
      </c>
      <c r="C237" s="4">
        <f t="shared" si="3"/>
        <v>2024</v>
      </c>
      <c r="D237" s="4">
        <f>MONTH(Table2[[#This Row],[Purchase Date]])</f>
        <v>2</v>
      </c>
      <c r="E237" s="5">
        <v>45332</v>
      </c>
      <c r="F237" s="4" t="s">
        <v>111</v>
      </c>
      <c r="G237" s="6">
        <v>995.28</v>
      </c>
      <c r="H237" s="4" t="s">
        <v>13</v>
      </c>
      <c r="I237" s="4" t="s">
        <v>20</v>
      </c>
      <c r="J237" s="4" t="s">
        <v>15</v>
      </c>
    </row>
    <row r="238" spans="1:10" ht="15.6" x14ac:dyDescent="0.3">
      <c r="A238" s="4" t="s">
        <v>490</v>
      </c>
      <c r="B238" s="4" t="s">
        <v>491</v>
      </c>
      <c r="C238" s="4">
        <f t="shared" si="3"/>
        <v>2024</v>
      </c>
      <c r="D238" s="4">
        <f>MONTH(Table2[[#This Row],[Purchase Date]])</f>
        <v>2</v>
      </c>
      <c r="E238" s="5">
        <v>45337</v>
      </c>
      <c r="F238" s="4" t="s">
        <v>12</v>
      </c>
      <c r="G238" s="6">
        <v>1523.82</v>
      </c>
      <c r="H238" s="4" t="s">
        <v>13</v>
      </c>
      <c r="I238" s="4" t="s">
        <v>64</v>
      </c>
      <c r="J238" s="4" t="s">
        <v>15</v>
      </c>
    </row>
    <row r="239" spans="1:10" ht="15.6" x14ac:dyDescent="0.3">
      <c r="A239" s="4" t="s">
        <v>492</v>
      </c>
      <c r="B239" s="4" t="s">
        <v>493</v>
      </c>
      <c r="C239" s="4">
        <f t="shared" si="3"/>
        <v>2024</v>
      </c>
      <c r="D239" s="4">
        <f>MONTH(Table2[[#This Row],[Purchase Date]])</f>
        <v>3</v>
      </c>
      <c r="E239" s="5">
        <v>45352</v>
      </c>
      <c r="F239" s="4" t="s">
        <v>111</v>
      </c>
      <c r="G239" s="6">
        <v>881.21</v>
      </c>
      <c r="H239" s="4" t="s">
        <v>19</v>
      </c>
      <c r="I239" s="4" t="s">
        <v>39</v>
      </c>
      <c r="J239" s="4" t="s">
        <v>29</v>
      </c>
    </row>
    <row r="240" spans="1:10" ht="15.6" x14ac:dyDescent="0.3">
      <c r="A240" s="4" t="s">
        <v>494</v>
      </c>
      <c r="B240" s="4" t="s">
        <v>495</v>
      </c>
      <c r="C240" s="4">
        <f t="shared" si="3"/>
        <v>2024</v>
      </c>
      <c r="D240" s="4">
        <f>MONTH(Table2[[#This Row],[Purchase Date]])</f>
        <v>3</v>
      </c>
      <c r="E240" s="5">
        <v>45367</v>
      </c>
      <c r="F240" s="4" t="s">
        <v>111</v>
      </c>
      <c r="G240" s="6">
        <v>1800.2</v>
      </c>
      <c r="H240" s="4" t="s">
        <v>19</v>
      </c>
      <c r="I240" s="4" t="s">
        <v>25</v>
      </c>
      <c r="J240" s="4" t="s">
        <v>15</v>
      </c>
    </row>
    <row r="241" spans="1:10" ht="15.6" x14ac:dyDescent="0.3">
      <c r="A241" s="4" t="s">
        <v>496</v>
      </c>
      <c r="B241" s="4" t="s">
        <v>497</v>
      </c>
      <c r="C241" s="4">
        <f t="shared" si="3"/>
        <v>2024</v>
      </c>
      <c r="D241" s="4">
        <f>MONTH(Table2[[#This Row],[Purchase Date]])</f>
        <v>4</v>
      </c>
      <c r="E241" s="5">
        <v>45391</v>
      </c>
      <c r="F241" s="4" t="s">
        <v>18</v>
      </c>
      <c r="G241" s="6">
        <v>785</v>
      </c>
      <c r="H241" s="4" t="s">
        <v>19</v>
      </c>
      <c r="I241" s="4" t="s">
        <v>32</v>
      </c>
      <c r="J241" s="4" t="s">
        <v>15</v>
      </c>
    </row>
    <row r="242" spans="1:10" ht="15.6" x14ac:dyDescent="0.3">
      <c r="A242" s="4" t="s">
        <v>498</v>
      </c>
      <c r="B242" s="4" t="s">
        <v>499</v>
      </c>
      <c r="C242" s="4">
        <f t="shared" si="3"/>
        <v>2024</v>
      </c>
      <c r="D242" s="4">
        <f>MONTH(Table2[[#This Row],[Purchase Date]])</f>
        <v>4</v>
      </c>
      <c r="E242" s="5">
        <v>45399</v>
      </c>
      <c r="F242" s="4" t="s">
        <v>80</v>
      </c>
      <c r="G242" s="6">
        <v>1792.53</v>
      </c>
      <c r="H242" s="4" t="s">
        <v>19</v>
      </c>
      <c r="I242" s="4" t="s">
        <v>47</v>
      </c>
      <c r="J242" s="4" t="s">
        <v>15</v>
      </c>
    </row>
    <row r="243" spans="1:10" ht="15.6" x14ac:dyDescent="0.3">
      <c r="A243" s="4" t="s">
        <v>500</v>
      </c>
      <c r="B243" s="4" t="s">
        <v>501</v>
      </c>
      <c r="C243" s="4">
        <f t="shared" si="3"/>
        <v>2024</v>
      </c>
      <c r="D243" s="4">
        <f>MONTH(Table2[[#This Row],[Purchase Date]])</f>
        <v>4</v>
      </c>
      <c r="E243" s="5">
        <v>45408</v>
      </c>
      <c r="F243" s="4" t="s">
        <v>69</v>
      </c>
      <c r="G243" s="6">
        <v>1031.0999999999999</v>
      </c>
      <c r="H243" s="4" t="s">
        <v>19</v>
      </c>
      <c r="I243" s="4" t="s">
        <v>106</v>
      </c>
      <c r="J243" s="4" t="s">
        <v>29</v>
      </c>
    </row>
    <row r="244" spans="1:10" ht="15.6" x14ac:dyDescent="0.3">
      <c r="A244" s="4" t="s">
        <v>502</v>
      </c>
      <c r="B244" s="4" t="s">
        <v>503</v>
      </c>
      <c r="C244" s="4">
        <f t="shared" si="3"/>
        <v>2024</v>
      </c>
      <c r="D244" s="4">
        <f>MONTH(Table2[[#This Row],[Purchase Date]])</f>
        <v>5</v>
      </c>
      <c r="E244" s="5">
        <v>45416</v>
      </c>
      <c r="F244" s="4" t="s">
        <v>52</v>
      </c>
      <c r="G244" s="6">
        <v>595.35</v>
      </c>
      <c r="H244" s="4" t="s">
        <v>13</v>
      </c>
      <c r="I244" s="4" t="s">
        <v>47</v>
      </c>
      <c r="J244" s="4" t="s">
        <v>29</v>
      </c>
    </row>
    <row r="245" spans="1:10" ht="15.6" x14ac:dyDescent="0.3">
      <c r="A245" s="4" t="s">
        <v>504</v>
      </c>
      <c r="B245" s="4" t="s">
        <v>505</v>
      </c>
      <c r="C245" s="4">
        <f t="shared" si="3"/>
        <v>2024</v>
      </c>
      <c r="D245" s="4">
        <f>MONTH(Table2[[#This Row],[Purchase Date]])</f>
        <v>6</v>
      </c>
      <c r="E245" s="5">
        <v>45470</v>
      </c>
      <c r="F245" s="4" t="s">
        <v>28</v>
      </c>
      <c r="G245" s="6">
        <v>1559.04</v>
      </c>
      <c r="H245" s="4" t="s">
        <v>19</v>
      </c>
      <c r="I245" s="4" t="s">
        <v>106</v>
      </c>
      <c r="J245" s="4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PAUL</dc:creator>
  <cp:lastModifiedBy>ARNAB PAUL</cp:lastModifiedBy>
  <dcterms:created xsi:type="dcterms:W3CDTF">2026-04-25T13:18:54Z</dcterms:created>
  <dcterms:modified xsi:type="dcterms:W3CDTF">2026-04-25T13:21:19Z</dcterms:modified>
</cp:coreProperties>
</file>