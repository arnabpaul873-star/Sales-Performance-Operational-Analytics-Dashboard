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C:\Users\Arnab Paul\Downloads\Data Analysis Project\Product management\"/>
    </mc:Choice>
  </mc:AlternateContent>
  <xr:revisionPtr revIDLastSave="0" documentId="8_{5B1F835E-7634-4A2B-9A04-65C0C7031773}" xr6:coauthVersionLast="47" xr6:coauthVersionMax="47" xr10:uidLastSave="{00000000-0000-0000-0000-000000000000}"/>
  <bookViews>
    <workbookView xWindow="-108" yWindow="-108" windowWidth="23256" windowHeight="12456" firstSheet="8" activeTab="8" xr2:uid="{69BEEF3B-EEDC-454C-975C-062F1838ECF7}"/>
  </bookViews>
  <sheets>
    <sheet name="Original Data" sheetId="1" state="hidden" r:id="rId1"/>
    <sheet name="Sales" sheetId="11" state="hidden" r:id="rId2"/>
    <sheet name="Orders" sheetId="13" state="hidden" r:id="rId3"/>
    <sheet name="Payment Status" sheetId="16" state="hidden" r:id="rId4"/>
    <sheet name="Delivary Status" sheetId="17" state="hidden" r:id="rId5"/>
    <sheet name="Product Analysis" sheetId="19" state="hidden" r:id="rId6"/>
    <sheet name="City Analsys" sheetId="20" state="hidden" r:id="rId7"/>
    <sheet name="Clean Data" sheetId="2" state="hidden" r:id="rId8"/>
    <sheet name="DashBoard" sheetId="9" r:id="rId9"/>
  </sheets>
  <definedNames>
    <definedName name="Slicer_City">#N/A</definedName>
    <definedName name="Slicer_Product_Purchased">#N/A</definedName>
    <definedName name="Slicer_Purchase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11" i="2"/>
  <c r="C10" i="2"/>
  <c r="C9" i="2"/>
  <c r="C8" i="2"/>
  <c r="C7" i="2"/>
  <c r="C6" i="2"/>
  <c r="C5" i="2"/>
  <c r="C4" i="2"/>
  <c r="C3" i="2"/>
  <c r="C2" i="2"/>
  <c r="H23" i="11"/>
  <c r="N22" i="13"/>
  <c r="O13" i="16"/>
  <c r="Q15" i="17"/>
  <c r="O26" i="16"/>
  <c r="O25" i="16"/>
  <c r="N26" i="13" l="1"/>
  <c r="N21" i="13"/>
  <c r="D23" i="13"/>
  <c r="N24" i="13"/>
  <c r="N25" i="13"/>
  <c r="N23" i="13"/>
</calcChain>
</file>

<file path=xl/sharedStrings.xml><?xml version="1.0" encoding="utf-8"?>
<sst xmlns="http://schemas.openxmlformats.org/spreadsheetml/2006/main" count="5002" uniqueCount="1503">
  <si>
    <t>Viswanathan</t>
  </si>
  <si>
    <t xml:space="preserve"> Jivika </t>
  </si>
  <si>
    <t xml:space="preserve"> Ranbir </t>
  </si>
  <si>
    <t>Vanya</t>
  </si>
  <si>
    <t>Dutta</t>
  </si>
  <si>
    <t xml:space="preserve"> Devansh </t>
  </si>
  <si>
    <t>Ryan</t>
  </si>
  <si>
    <t>Krishnamurthy</t>
  </si>
  <si>
    <t>Ivana</t>
  </si>
  <si>
    <t>Nehmat</t>
  </si>
  <si>
    <t>Aaryahi</t>
  </si>
  <si>
    <t xml:space="preserve"> Dhar </t>
  </si>
  <si>
    <t>Dyal</t>
  </si>
  <si>
    <t>Yashvi</t>
  </si>
  <si>
    <t xml:space="preserve"> Divij </t>
  </si>
  <si>
    <t xml:space="preserve"> Kapadia </t>
  </si>
  <si>
    <t xml:space="preserve"> Ritvik </t>
  </si>
  <si>
    <t>Hayer</t>
  </si>
  <si>
    <t xml:space="preserve"> Dhanush </t>
  </si>
  <si>
    <t>Bala</t>
  </si>
  <si>
    <t>Himmat</t>
  </si>
  <si>
    <t>Andra</t>
  </si>
  <si>
    <t xml:space="preserve"> Hazel </t>
  </si>
  <si>
    <t xml:space="preserve"> Choudhary </t>
  </si>
  <si>
    <t>Zara</t>
  </si>
  <si>
    <t>Desai</t>
  </si>
  <si>
    <t xml:space="preserve"> Samarth </t>
  </si>
  <si>
    <t xml:space="preserve"> Chad </t>
  </si>
  <si>
    <t xml:space="preserve"> Jayan </t>
  </si>
  <si>
    <t>Srivastava</t>
  </si>
  <si>
    <t xml:space="preserve"> Ivan </t>
  </si>
  <si>
    <t>Handa</t>
  </si>
  <si>
    <t xml:space="preserve"> Rohan </t>
  </si>
  <si>
    <t xml:space="preserve"> Khanna </t>
  </si>
  <si>
    <t xml:space="preserve"> Damini </t>
  </si>
  <si>
    <t xml:space="preserve"> Amira </t>
  </si>
  <si>
    <t>Neelofar</t>
  </si>
  <si>
    <t xml:space="preserve"> Aurora </t>
  </si>
  <si>
    <t xml:space="preserve"> Tara </t>
  </si>
  <si>
    <t>Kanda</t>
  </si>
  <si>
    <t>Navya</t>
  </si>
  <si>
    <t>Dhar</t>
  </si>
  <si>
    <t xml:space="preserve"> Tushar </t>
  </si>
  <si>
    <t>Kuruvilla</t>
  </si>
  <si>
    <t>Sawhney</t>
  </si>
  <si>
    <t xml:space="preserve"> Rao </t>
  </si>
  <si>
    <t xml:space="preserve"> Adah </t>
  </si>
  <si>
    <t>Loyal</t>
  </si>
  <si>
    <t xml:space="preserve"> Kalita </t>
  </si>
  <si>
    <t>Riya</t>
  </si>
  <si>
    <t>Sengupta</t>
  </si>
  <si>
    <t>Sana</t>
  </si>
  <si>
    <t>Garde</t>
  </si>
  <si>
    <t xml:space="preserve"> Lakshit </t>
  </si>
  <si>
    <t xml:space="preserve"> Chaudry </t>
  </si>
  <si>
    <t xml:space="preserve"> Alisha </t>
  </si>
  <si>
    <t xml:space="preserve"> Sachdev </t>
  </si>
  <si>
    <t>Samaira</t>
  </si>
  <si>
    <t xml:space="preserve"> Ben </t>
  </si>
  <si>
    <t xml:space="preserve"> Raunak </t>
  </si>
  <si>
    <t>Jayan</t>
  </si>
  <si>
    <t>Divij</t>
  </si>
  <si>
    <t>Kumar</t>
  </si>
  <si>
    <t xml:space="preserve"> Jayesh </t>
  </si>
  <si>
    <t>Zeeshan</t>
  </si>
  <si>
    <t>Badal</t>
  </si>
  <si>
    <t xml:space="preserve"> Mishti </t>
  </si>
  <si>
    <t>Anand</t>
  </si>
  <si>
    <t>Arora</t>
  </si>
  <si>
    <t>Arnav</t>
  </si>
  <si>
    <t xml:space="preserve"> Garde </t>
  </si>
  <si>
    <t xml:space="preserve"> Uthkarsh </t>
  </si>
  <si>
    <t xml:space="preserve"> Navya </t>
  </si>
  <si>
    <t xml:space="preserve"> Vaibhav </t>
  </si>
  <si>
    <t xml:space="preserve"> Samra </t>
  </si>
  <si>
    <t xml:space="preserve"> Tarini </t>
  </si>
  <si>
    <t xml:space="preserve"> Ramaswamy </t>
  </si>
  <si>
    <t xml:space="preserve"> Misha </t>
  </si>
  <si>
    <t>Tejas</t>
  </si>
  <si>
    <t xml:space="preserve"> Vedika </t>
  </si>
  <si>
    <t>Srinivasan</t>
  </si>
  <si>
    <t>Nitara</t>
  </si>
  <si>
    <t xml:space="preserve"> Rana </t>
  </si>
  <si>
    <t xml:space="preserve"> Kavya </t>
  </si>
  <si>
    <t>Krish</t>
  </si>
  <si>
    <t xml:space="preserve"> Sara </t>
  </si>
  <si>
    <t xml:space="preserve"> Gala </t>
  </si>
  <si>
    <t>Prerak</t>
  </si>
  <si>
    <t>Darshit</t>
  </si>
  <si>
    <t>Sunder</t>
  </si>
  <si>
    <t>Biju</t>
  </si>
  <si>
    <t xml:space="preserve"> Rama </t>
  </si>
  <si>
    <t>Saanvi</t>
  </si>
  <si>
    <t xml:space="preserve"> Brar </t>
  </si>
  <si>
    <t xml:space="preserve"> Anvi </t>
  </si>
  <si>
    <t xml:space="preserve"> Chopra </t>
  </si>
  <si>
    <t>Veer</t>
  </si>
  <si>
    <t xml:space="preserve"> Amble </t>
  </si>
  <si>
    <t>Ghose</t>
  </si>
  <si>
    <t xml:space="preserve"> Nitya </t>
  </si>
  <si>
    <t>Shan</t>
  </si>
  <si>
    <t xml:space="preserve"> Romil </t>
  </si>
  <si>
    <t xml:space="preserve"> Advik </t>
  </si>
  <si>
    <t>Sarkar</t>
  </si>
  <si>
    <t xml:space="preserve"> Riaan </t>
  </si>
  <si>
    <t xml:space="preserve"> Fateh </t>
  </si>
  <si>
    <t xml:space="preserve"> Shetty </t>
  </si>
  <si>
    <t>Setty</t>
  </si>
  <si>
    <t xml:space="preserve"> Seher </t>
  </si>
  <si>
    <t xml:space="preserve"> Viswanathan </t>
  </si>
  <si>
    <t xml:space="preserve"> Aaryahi </t>
  </si>
  <si>
    <t>Manne</t>
  </si>
  <si>
    <t>Misha</t>
  </si>
  <si>
    <t>Talwar</t>
  </si>
  <si>
    <t>Zoya</t>
  </si>
  <si>
    <t xml:space="preserve"> Krish </t>
  </si>
  <si>
    <t xml:space="preserve"> Eshani </t>
  </si>
  <si>
    <t>Choudhary</t>
  </si>
  <si>
    <t xml:space="preserve"> Manjari </t>
  </si>
  <si>
    <t xml:space="preserve"> Balakrishnan </t>
  </si>
  <si>
    <t xml:space="preserve"> Vora </t>
  </si>
  <si>
    <t xml:space="preserve"> Mehul </t>
  </si>
  <si>
    <t>Bedi</t>
  </si>
  <si>
    <t xml:space="preserve"> Arnav </t>
  </si>
  <si>
    <t>Golla</t>
  </si>
  <si>
    <t>Heer</t>
  </si>
  <si>
    <t xml:space="preserve"> Anaya </t>
  </si>
  <si>
    <t xml:space="preserve"> Arya </t>
  </si>
  <si>
    <t xml:space="preserve"> Amani </t>
  </si>
  <si>
    <t xml:space="preserve"> Shukla </t>
  </si>
  <si>
    <t xml:space="preserve"> Shayak </t>
  </si>
  <si>
    <t xml:space="preserve"> Gour </t>
  </si>
  <si>
    <t>Elakshi</t>
  </si>
  <si>
    <t xml:space="preserve"> Khatri </t>
  </si>
  <si>
    <t xml:space="preserve"> Kiara </t>
  </si>
  <si>
    <t>Kumer</t>
  </si>
  <si>
    <t>Ranbir</t>
  </si>
  <si>
    <t>Atwal</t>
  </si>
  <si>
    <t>Sahil</t>
  </si>
  <si>
    <t xml:space="preserve"> Ranganathan </t>
  </si>
  <si>
    <t>Piya</t>
  </si>
  <si>
    <t>Iyer</t>
  </si>
  <si>
    <t xml:space="preserve"> Shalv </t>
  </si>
  <si>
    <t>Rastogi</t>
  </si>
  <si>
    <t>Shaan</t>
  </si>
  <si>
    <t xml:space="preserve"> Dey </t>
  </si>
  <si>
    <t>Fateh</t>
  </si>
  <si>
    <t>Kashyap</t>
  </si>
  <si>
    <t>Shalv</t>
  </si>
  <si>
    <t>Dass</t>
  </si>
  <si>
    <t>Mane</t>
  </si>
  <si>
    <t>Cheema</t>
  </si>
  <si>
    <t>Sumer</t>
  </si>
  <si>
    <t>Sangha</t>
  </si>
  <si>
    <t xml:space="preserve"> Mamooty </t>
  </si>
  <si>
    <t xml:space="preserve"> Goyal </t>
  </si>
  <si>
    <t xml:space="preserve"> Rajagopal </t>
  </si>
  <si>
    <t>Rhea</t>
  </si>
  <si>
    <t>Choudhury</t>
  </si>
  <si>
    <t>Renee</t>
  </si>
  <si>
    <t xml:space="preserve"> Kanav </t>
  </si>
  <si>
    <t>Tailor</t>
  </si>
  <si>
    <t>Rania</t>
  </si>
  <si>
    <t>Reyansh</t>
  </si>
  <si>
    <t xml:space="preserve"> Mahika </t>
  </si>
  <si>
    <t xml:space="preserve"> Baria </t>
  </si>
  <si>
    <t xml:space="preserve"> Anika </t>
  </si>
  <si>
    <t>Sankar</t>
  </si>
  <si>
    <t>Aniruddh</t>
  </si>
  <si>
    <t xml:space="preserve"> Gulati </t>
  </si>
  <si>
    <t xml:space="preserve"> Hridaan </t>
  </si>
  <si>
    <t>Butala</t>
  </si>
  <si>
    <t xml:space="preserve"> Umang </t>
  </si>
  <si>
    <t xml:space="preserve"> Wagle </t>
  </si>
  <si>
    <t>Lakshay</t>
  </si>
  <si>
    <t>Gaba</t>
  </si>
  <si>
    <t>Aarush</t>
  </si>
  <si>
    <t xml:space="preserve"> Gopal </t>
  </si>
  <si>
    <t xml:space="preserve"> Neelofar </t>
  </si>
  <si>
    <t xml:space="preserve"> Mani </t>
  </si>
  <si>
    <t>Saira</t>
  </si>
  <si>
    <t xml:space="preserve"> Shah </t>
  </si>
  <si>
    <t xml:space="preserve"> Swamy </t>
  </si>
  <si>
    <t>Samar</t>
  </si>
  <si>
    <t>Hans</t>
  </si>
  <si>
    <t xml:space="preserve"> Shaan </t>
  </si>
  <si>
    <t>Apte</t>
  </si>
  <si>
    <t>Chawla</t>
  </si>
  <si>
    <t>Raghav</t>
  </si>
  <si>
    <t xml:space="preserve"> Jiya </t>
  </si>
  <si>
    <t xml:space="preserve"> Biswas </t>
  </si>
  <si>
    <t>Indrans</t>
  </si>
  <si>
    <t>Bassi</t>
  </si>
  <si>
    <t xml:space="preserve"> Raghav </t>
  </si>
  <si>
    <t>Kar</t>
  </si>
  <si>
    <t>Purab</t>
  </si>
  <si>
    <t xml:space="preserve"> Dora </t>
  </si>
  <si>
    <t xml:space="preserve"> Yashvi </t>
  </si>
  <si>
    <t>Aggarwal</t>
  </si>
  <si>
    <t>Dharmajan</t>
  </si>
  <si>
    <t xml:space="preserve"> Arhaan </t>
  </si>
  <si>
    <t>Seshadri</t>
  </si>
  <si>
    <t xml:space="preserve"> Tak </t>
  </si>
  <si>
    <t xml:space="preserve"> Nitara </t>
  </si>
  <si>
    <t xml:space="preserve"> Vala </t>
  </si>
  <si>
    <t>Tanya</t>
  </si>
  <si>
    <t>Dhingra</t>
  </si>
  <si>
    <t>Urvi</t>
  </si>
  <si>
    <t xml:space="preserve"> Sha </t>
  </si>
  <si>
    <t xml:space="preserve"> Parinaaz </t>
  </si>
  <si>
    <t>Sood</t>
  </si>
  <si>
    <t xml:space="preserve"> Samiha </t>
  </si>
  <si>
    <t xml:space="preserve"> Dube </t>
  </si>
  <si>
    <t>Rohan</t>
  </si>
  <si>
    <t>Parinaaz</t>
  </si>
  <si>
    <t>Dutt</t>
  </si>
  <si>
    <t xml:space="preserve"> Mannat </t>
  </si>
  <si>
    <t>Chopra</t>
  </si>
  <si>
    <t xml:space="preserve"> Saksham </t>
  </si>
  <si>
    <t>Mandal</t>
  </si>
  <si>
    <t>Nitya</t>
  </si>
  <si>
    <t xml:space="preserve"> Sathe </t>
  </si>
  <si>
    <t>Shlok</t>
  </si>
  <si>
    <t>Suhana</t>
  </si>
  <si>
    <t xml:space="preserve"> Randhawa </t>
  </si>
  <si>
    <t>Samiha</t>
  </si>
  <si>
    <t xml:space="preserve"> Rattan </t>
  </si>
  <si>
    <t xml:space="preserve"> Kaira </t>
  </si>
  <si>
    <t>Bal</t>
  </si>
  <si>
    <t>Priyansh</t>
  </si>
  <si>
    <t xml:space="preserve"> Kamdar </t>
  </si>
  <si>
    <t xml:space="preserve"> Magar </t>
  </si>
  <si>
    <t xml:space="preserve"> Biju </t>
  </si>
  <si>
    <t>Chacko</t>
  </si>
  <si>
    <t>Dhruv</t>
  </si>
  <si>
    <t>Madan</t>
  </si>
  <si>
    <t xml:space="preserve"> Chada </t>
  </si>
  <si>
    <t xml:space="preserve"> Myra </t>
  </si>
  <si>
    <t xml:space="preserve"> Singhal </t>
  </si>
  <si>
    <t>Rana</t>
  </si>
  <si>
    <t>Miraya</t>
  </si>
  <si>
    <t>Sarraf</t>
  </si>
  <si>
    <t xml:space="preserve"> Inaaya  </t>
  </si>
  <si>
    <t xml:space="preserve"> Badal </t>
  </si>
  <si>
    <t>Randhawa</t>
  </si>
  <si>
    <t>Bora</t>
  </si>
  <si>
    <t xml:space="preserve"> Himmat </t>
  </si>
  <si>
    <t xml:space="preserve"> Ghosh </t>
  </si>
  <si>
    <t xml:space="preserve"> Handa </t>
  </si>
  <si>
    <t xml:space="preserve"> Jivin </t>
  </si>
  <si>
    <t>Bath</t>
  </si>
  <si>
    <t xml:space="preserve"> Yakshit </t>
  </si>
  <si>
    <t xml:space="preserve"> Subramanian </t>
  </si>
  <si>
    <t xml:space="preserve"> Lavanya </t>
  </si>
  <si>
    <t xml:space="preserve"> Saha </t>
  </si>
  <si>
    <t>Bhavin</t>
  </si>
  <si>
    <t xml:space="preserve"> Dubey </t>
  </si>
  <si>
    <t xml:space="preserve"> Drishya </t>
  </si>
  <si>
    <t xml:space="preserve"> Dhawan </t>
  </si>
  <si>
    <t>Arhaan</t>
  </si>
  <si>
    <t xml:space="preserve"> Jain </t>
  </si>
  <si>
    <t xml:space="preserve"> Roy </t>
  </si>
  <si>
    <t>Vedika</t>
  </si>
  <si>
    <t>Rattan</t>
  </si>
  <si>
    <t xml:space="preserve">Inaaya </t>
  </si>
  <si>
    <t xml:space="preserve"> Divan </t>
  </si>
  <si>
    <t>Shamik</t>
  </si>
  <si>
    <t xml:space="preserve"> Kade </t>
  </si>
  <si>
    <t>Sharma</t>
  </si>
  <si>
    <t>Myra</t>
  </si>
  <si>
    <t xml:space="preserve"> Korpal </t>
  </si>
  <si>
    <t xml:space="preserve"> Bains </t>
  </si>
  <si>
    <t xml:space="preserve"> Shray </t>
  </si>
  <si>
    <t xml:space="preserve"> Yohannan </t>
  </si>
  <si>
    <t>Lakshit</t>
  </si>
  <si>
    <t xml:space="preserve"> Bhalla </t>
  </si>
  <si>
    <t xml:space="preserve"> Divit </t>
  </si>
  <si>
    <t>Bajaj</t>
  </si>
  <si>
    <t>Anahi</t>
  </si>
  <si>
    <t xml:space="preserve"> Pranay </t>
  </si>
  <si>
    <t>Sachar</t>
  </si>
  <si>
    <t xml:space="preserve"> Yuvraj  </t>
  </si>
  <si>
    <t xml:space="preserve"> Sodhi </t>
  </si>
  <si>
    <t>Lata</t>
  </si>
  <si>
    <t>Tushar</t>
  </si>
  <si>
    <t>Joshi</t>
  </si>
  <si>
    <t>Vidur</t>
  </si>
  <si>
    <t>Nishith</t>
  </si>
  <si>
    <t>Charvi</t>
  </si>
  <si>
    <t>Kakar</t>
  </si>
  <si>
    <t>Vivaan</t>
  </si>
  <si>
    <t>Mishti</t>
  </si>
  <si>
    <t xml:space="preserve"> Acharya </t>
  </si>
  <si>
    <t>Ishaan</t>
  </si>
  <si>
    <t xml:space="preserve"> Bhasin </t>
  </si>
  <si>
    <t>Aarna</t>
  </si>
  <si>
    <t xml:space="preserve"> Kota </t>
  </si>
  <si>
    <t xml:space="preserve"> Bedi </t>
  </si>
  <si>
    <t xml:space="preserve"> Taran </t>
  </si>
  <si>
    <t>Dada</t>
  </si>
  <si>
    <t xml:space="preserve">Ahana </t>
  </si>
  <si>
    <t xml:space="preserve"> Sabharwal </t>
  </si>
  <si>
    <t>Mannat</t>
  </si>
  <si>
    <t>Yasmin</t>
  </si>
  <si>
    <t xml:space="preserve"> Heer </t>
  </si>
  <si>
    <t>Sodhi</t>
  </si>
  <si>
    <t xml:space="preserve"> Samar </t>
  </si>
  <si>
    <t>Das</t>
  </si>
  <si>
    <t>Ritvik</t>
  </si>
  <si>
    <t xml:space="preserve"> Hora </t>
  </si>
  <si>
    <t>Chirag</t>
  </si>
  <si>
    <t xml:space="preserve"> Som </t>
  </si>
  <si>
    <t>Neysa</t>
  </si>
  <si>
    <t xml:space="preserve"> Tandon </t>
  </si>
  <si>
    <t>Zaina</t>
  </si>
  <si>
    <t>Vora</t>
  </si>
  <si>
    <t xml:space="preserve"> Kurian </t>
  </si>
  <si>
    <t xml:space="preserve"> Madhav </t>
  </si>
  <si>
    <t>Jha</t>
  </si>
  <si>
    <t>Sem</t>
  </si>
  <si>
    <t>Khushi</t>
  </si>
  <si>
    <t>Manda</t>
  </si>
  <si>
    <t xml:space="preserve"> Hansh </t>
  </si>
  <si>
    <t xml:space="preserve"> Sharaf </t>
  </si>
  <si>
    <t>Anaya</t>
  </si>
  <si>
    <t xml:space="preserve"> Das </t>
  </si>
  <si>
    <t xml:space="preserve"> Indrans </t>
  </si>
  <si>
    <t>Keer</t>
  </si>
  <si>
    <t xml:space="preserve"> Golla </t>
  </si>
  <si>
    <t>Ramesh</t>
  </si>
  <si>
    <t>Indrajit</t>
  </si>
  <si>
    <t>Solanki</t>
  </si>
  <si>
    <t>Madhav</t>
  </si>
  <si>
    <t>Khosla</t>
  </si>
  <si>
    <t xml:space="preserve"> Walia </t>
  </si>
  <si>
    <t xml:space="preserve"> Ishita </t>
  </si>
  <si>
    <t xml:space="preserve"> Gera </t>
  </si>
  <si>
    <t xml:space="preserve"> Dhanuk </t>
  </si>
  <si>
    <t xml:space="preserve"> Dyal </t>
  </si>
  <si>
    <t xml:space="preserve"> Alia </t>
  </si>
  <si>
    <t xml:space="preserve"> Kale </t>
  </si>
  <si>
    <t xml:space="preserve"> Sur </t>
  </si>
  <si>
    <t xml:space="preserve"> Ghose </t>
  </si>
  <si>
    <t>Lala</t>
  </si>
  <si>
    <t>Dar</t>
  </si>
  <si>
    <t>Kabir</t>
  </si>
  <si>
    <t>Zacharia</t>
  </si>
  <si>
    <t xml:space="preserve"> Manne </t>
  </si>
  <si>
    <t>Kismat</t>
  </si>
  <si>
    <t xml:space="preserve"> Divyansh </t>
  </si>
  <si>
    <t xml:space="preserve"> Piya </t>
  </si>
  <si>
    <t xml:space="preserve"> Kulkarni </t>
  </si>
  <si>
    <t xml:space="preserve"> Stuvan </t>
  </si>
  <si>
    <t>Sampath</t>
  </si>
  <si>
    <t xml:space="preserve"> Baral </t>
  </si>
  <si>
    <t>Ira</t>
  </si>
  <si>
    <t>Bhattacharyya</t>
  </si>
  <si>
    <t xml:space="preserve"> Kabir </t>
  </si>
  <si>
    <t xml:space="preserve"> Sampath </t>
  </si>
  <si>
    <t>Singhal</t>
  </si>
  <si>
    <t xml:space="preserve"> Ahana  </t>
  </si>
  <si>
    <t>Mannan</t>
  </si>
  <si>
    <t>Tarini</t>
  </si>
  <si>
    <t xml:space="preserve"> Hans </t>
  </si>
  <si>
    <t>Sharaf</t>
  </si>
  <si>
    <t xml:space="preserve"> Karan </t>
  </si>
  <si>
    <t>Master</t>
  </si>
  <si>
    <t xml:space="preserve"> Taimur </t>
  </si>
  <si>
    <t xml:space="preserve"> Tata </t>
  </si>
  <si>
    <t>Hazel</t>
  </si>
  <si>
    <t xml:space="preserve"> Chacko </t>
  </si>
  <si>
    <t xml:space="preserve"> Manda </t>
  </si>
  <si>
    <t xml:space="preserve"> Nishith </t>
  </si>
  <si>
    <t xml:space="preserve"> Chand </t>
  </si>
  <si>
    <t xml:space="preserve"> Rajan </t>
  </si>
  <si>
    <t>Jayesh</t>
  </si>
  <si>
    <t xml:space="preserve"> Batra </t>
  </si>
  <si>
    <t xml:space="preserve"> Kartik </t>
  </si>
  <si>
    <t xml:space="preserve"> Sarin </t>
  </si>
  <si>
    <t xml:space="preserve"> Miraan </t>
  </si>
  <si>
    <t>Sane</t>
  </si>
  <si>
    <t>Trisha</t>
  </si>
  <si>
    <t xml:space="preserve"> Advika </t>
  </si>
  <si>
    <t>Ravel</t>
  </si>
  <si>
    <t xml:space="preserve"> Ira </t>
  </si>
  <si>
    <t>Gupta</t>
  </si>
  <si>
    <t xml:space="preserve"> Yuvaan </t>
  </si>
  <si>
    <t xml:space="preserve"> Borde </t>
  </si>
  <si>
    <t>Ayesha</t>
  </si>
  <si>
    <t xml:space="preserve"> Trivedi </t>
  </si>
  <si>
    <t>Ganguly</t>
  </si>
  <si>
    <t xml:space="preserve"> Jayant </t>
  </si>
  <si>
    <t xml:space="preserve"> Krishnan </t>
  </si>
  <si>
    <t>Bawa</t>
  </si>
  <si>
    <t>Bahri</t>
  </si>
  <si>
    <t xml:space="preserve"> Gill </t>
  </si>
  <si>
    <t>Manikya</t>
  </si>
  <si>
    <t xml:space="preserve"> Lata </t>
  </si>
  <si>
    <t xml:space="preserve"> Prisha </t>
  </si>
  <si>
    <t>Kaur</t>
  </si>
  <si>
    <t>Dhanuk</t>
  </si>
  <si>
    <t xml:space="preserve"> Taneja </t>
  </si>
  <si>
    <t>Stuvan</t>
  </si>
  <si>
    <t>Thaker</t>
  </si>
  <si>
    <t xml:space="preserve"> Baiju </t>
  </si>
  <si>
    <t>Eshani</t>
  </si>
  <si>
    <t>Arya</t>
  </si>
  <si>
    <t xml:space="preserve"> Mahajan </t>
  </si>
  <si>
    <t>Sehgal</t>
  </si>
  <si>
    <t>Kohli</t>
  </si>
  <si>
    <t>Walia</t>
  </si>
  <si>
    <t>Deshmukh</t>
  </si>
  <si>
    <t xml:space="preserve"> Aradhya </t>
  </si>
  <si>
    <t xml:space="preserve"> Bhardwaj </t>
  </si>
  <si>
    <t xml:space="preserve"> Purab </t>
  </si>
  <si>
    <t xml:space="preserve"> Sunder </t>
  </si>
  <si>
    <t>Kimaya</t>
  </si>
  <si>
    <t xml:space="preserve"> Johal </t>
  </si>
  <si>
    <t>Taimur</t>
  </si>
  <si>
    <t xml:space="preserve"> Rau </t>
  </si>
  <si>
    <t>Badami</t>
  </si>
  <si>
    <t xml:space="preserve"> Luthra </t>
  </si>
  <si>
    <t xml:space="preserve"> Tella </t>
  </si>
  <si>
    <t xml:space="preserve"> Vyas </t>
  </si>
  <si>
    <t>Eva</t>
  </si>
  <si>
    <t>Saran</t>
  </si>
  <si>
    <t xml:space="preserve"> Chanda </t>
  </si>
  <si>
    <t xml:space="preserve"> Dharmajan </t>
  </si>
  <si>
    <t>Subramaniam</t>
  </si>
  <si>
    <t>Choudhry</t>
  </si>
  <si>
    <t xml:space="preserve"> Vidur </t>
  </si>
  <si>
    <t>Tak</t>
  </si>
  <si>
    <t xml:space="preserve"> Sibal </t>
  </si>
  <si>
    <t xml:space="preserve"> Sandal </t>
  </si>
  <si>
    <t xml:space="preserve"> Trisha </t>
  </si>
  <si>
    <t>Bava</t>
  </si>
  <si>
    <t>Shah</t>
  </si>
  <si>
    <t>Faiyaz</t>
  </si>
  <si>
    <t xml:space="preserve"> Gaba </t>
  </si>
  <si>
    <t xml:space="preserve"> Elakshi </t>
  </si>
  <si>
    <t xml:space="preserve"> Shanker </t>
  </si>
  <si>
    <t>Gara</t>
  </si>
  <si>
    <t xml:space="preserve"> Andra </t>
  </si>
  <si>
    <t>Ahuja</t>
  </si>
  <si>
    <t>Manjari</t>
  </si>
  <si>
    <t xml:space="preserve"> Shankar </t>
  </si>
  <si>
    <t>Kannan</t>
  </si>
  <si>
    <t>Mani</t>
  </si>
  <si>
    <t xml:space="preserve"> Venkatesh </t>
  </si>
  <si>
    <t xml:space="preserve"> Nehmat </t>
  </si>
  <si>
    <t>Ramaswamy</t>
  </si>
  <si>
    <t xml:space="preserve"> Gokul </t>
  </si>
  <si>
    <t>Tara</t>
  </si>
  <si>
    <t>Lavanya</t>
  </si>
  <si>
    <t>Goda</t>
  </si>
  <si>
    <t xml:space="preserve"> Reyansh </t>
  </si>
  <si>
    <t>Chada</t>
  </si>
  <si>
    <t xml:space="preserve"> Miraya </t>
  </si>
  <si>
    <t>Koshy</t>
  </si>
  <si>
    <t xml:space="preserve"> Chhabra </t>
  </si>
  <si>
    <t xml:space="preserve"> Krishna </t>
  </si>
  <si>
    <t xml:space="preserve"> Lakshay </t>
  </si>
  <si>
    <t>Baria</t>
  </si>
  <si>
    <t>Adah</t>
  </si>
  <si>
    <t xml:space="preserve"> Madan </t>
  </si>
  <si>
    <t>Jain</t>
  </si>
  <si>
    <t>Agarwal</t>
  </si>
  <si>
    <t>Romil</t>
  </si>
  <si>
    <t xml:space="preserve"> Neysa </t>
  </si>
  <si>
    <t xml:space="preserve"> Hrishita </t>
  </si>
  <si>
    <t>Karnik</t>
  </si>
  <si>
    <t xml:space="preserve"> Bawa </t>
  </si>
  <si>
    <t xml:space="preserve"> Madhup </t>
  </si>
  <si>
    <t>Hayre</t>
  </si>
  <si>
    <t xml:space="preserve"> Dhruv </t>
  </si>
  <si>
    <t>Mand</t>
  </si>
  <si>
    <t>Indranil</t>
  </si>
  <si>
    <t xml:space="preserve"> Bava </t>
  </si>
  <si>
    <t>Taran</t>
  </si>
  <si>
    <t>Bandi</t>
  </si>
  <si>
    <t xml:space="preserve"> Zara </t>
  </si>
  <si>
    <t xml:space="preserve"> Akarsh </t>
  </si>
  <si>
    <t xml:space="preserve"> Onkar </t>
  </si>
  <si>
    <t>Gandhi</t>
  </si>
  <si>
    <t xml:space="preserve"> Kaul </t>
  </si>
  <si>
    <t>Sarma</t>
  </si>
  <si>
    <t xml:space="preserve"> Rege </t>
  </si>
  <si>
    <t xml:space="preserve"> Chaudhari </t>
  </si>
  <si>
    <t>Anahita</t>
  </si>
  <si>
    <t>Aarav</t>
  </si>
  <si>
    <t>Adira</t>
  </si>
  <si>
    <t>Abram</t>
  </si>
  <si>
    <t xml:space="preserve"> Choudhry </t>
  </si>
  <si>
    <t xml:space="preserve"> Renee </t>
  </si>
  <si>
    <t>Mangal</t>
  </si>
  <si>
    <t>Kanav</t>
  </si>
  <si>
    <t xml:space="preserve"> Kannan </t>
  </si>
  <si>
    <t xml:space="preserve"> Abram </t>
  </si>
  <si>
    <t>Pihu</t>
  </si>
  <si>
    <t>Vyas</t>
  </si>
  <si>
    <t>Divyansh</t>
  </si>
  <si>
    <t xml:space="preserve"> Chakrabarti </t>
  </si>
  <si>
    <t>Yuvaan</t>
  </si>
  <si>
    <t>Cherian</t>
  </si>
  <si>
    <t>Buch</t>
  </si>
  <si>
    <t>Kalita</t>
  </si>
  <si>
    <t xml:space="preserve"> Lanka </t>
  </si>
  <si>
    <t xml:space="preserve"> Sahil </t>
  </si>
  <si>
    <t xml:space="preserve"> Khosla </t>
  </si>
  <si>
    <t xml:space="preserve"> Sani </t>
  </si>
  <si>
    <t xml:space="preserve"> Yasmin </t>
  </si>
  <si>
    <t xml:space="preserve"> Deep </t>
  </si>
  <si>
    <t>Kiara</t>
  </si>
  <si>
    <t>Balakrishnan</t>
  </si>
  <si>
    <t>Vaibhav</t>
  </si>
  <si>
    <t>Akarsh</t>
  </si>
  <si>
    <t>Anvi</t>
  </si>
  <si>
    <t>Deol</t>
  </si>
  <si>
    <t xml:space="preserve"> Rati </t>
  </si>
  <si>
    <t xml:space="preserve"> Kapur </t>
  </si>
  <si>
    <t xml:space="preserve"> Barad </t>
  </si>
  <si>
    <t>Dugar</t>
  </si>
  <si>
    <t>Salvi</t>
  </si>
  <si>
    <t>Hrishita</t>
  </si>
  <si>
    <t>Kamdar</t>
  </si>
  <si>
    <t>Nirvi</t>
  </si>
  <si>
    <t>Seth</t>
  </si>
  <si>
    <t xml:space="preserve"> Khurana </t>
  </si>
  <si>
    <t>Soni</t>
  </si>
  <si>
    <t xml:space="preserve"> Devan </t>
  </si>
  <si>
    <t xml:space="preserve"> Keya </t>
  </si>
  <si>
    <t>Lanka</t>
  </si>
  <si>
    <t>Saksham</t>
  </si>
  <si>
    <t xml:space="preserve"> Buch </t>
  </si>
  <si>
    <t xml:space="preserve"> Anahi </t>
  </si>
  <si>
    <t xml:space="preserve"> Sama </t>
  </si>
  <si>
    <t xml:space="preserve"> Mane </t>
  </si>
  <si>
    <t xml:space="preserve"> Raja </t>
  </si>
  <si>
    <t xml:space="preserve"> Zeeshan </t>
  </si>
  <si>
    <t xml:space="preserve"> Sarraf </t>
  </si>
  <si>
    <t xml:space="preserve"> Thakkar </t>
  </si>
  <si>
    <t>Sheth</t>
  </si>
  <si>
    <t xml:space="preserve"> Borah </t>
  </si>
  <si>
    <t xml:space="preserve"> Kismat </t>
  </si>
  <si>
    <t>Chaudry</t>
  </si>
  <si>
    <t xml:space="preserve"> Sachdeva </t>
  </si>
  <si>
    <t xml:space="preserve"> Keer </t>
  </si>
  <si>
    <t xml:space="preserve"> Sawhney </t>
  </si>
  <si>
    <t>Biswas</t>
  </si>
  <si>
    <t>Vohra</t>
  </si>
  <si>
    <t>Zachariah</t>
  </si>
  <si>
    <t xml:space="preserve"> Butala </t>
  </si>
  <si>
    <t>Amani</t>
  </si>
  <si>
    <t>Lal</t>
  </si>
  <si>
    <t xml:space="preserve"> Grewal </t>
  </si>
  <si>
    <t xml:space="preserve"> Gatik </t>
  </si>
  <si>
    <t>Yadav</t>
  </si>
  <si>
    <t>Jivin</t>
  </si>
  <si>
    <t xml:space="preserve"> Charvi </t>
  </si>
  <si>
    <t xml:space="preserve"> Veer </t>
  </si>
  <si>
    <t xml:space="preserve"> Aggarwal </t>
  </si>
  <si>
    <t xml:space="preserve"> Dara </t>
  </si>
  <si>
    <t xml:space="preserve"> Bakshi </t>
  </si>
  <si>
    <t>Wagle</t>
  </si>
  <si>
    <t xml:space="preserve"> Sarma </t>
  </si>
  <si>
    <t xml:space="preserve"> Armaan </t>
  </si>
  <si>
    <t>Bhalla</t>
  </si>
  <si>
    <t xml:space="preserve"> Nayantara </t>
  </si>
  <si>
    <t>Uthkarsh</t>
  </si>
  <si>
    <t xml:space="preserve"> Kala </t>
  </si>
  <si>
    <t xml:space="preserve"> Mander </t>
  </si>
  <si>
    <t xml:space="preserve"> Din </t>
  </si>
  <si>
    <t xml:space="preserve"> Lad </t>
  </si>
  <si>
    <t xml:space="preserve"> Anya </t>
  </si>
  <si>
    <t>Saha</t>
  </si>
  <si>
    <t>Bali</t>
  </si>
  <si>
    <t xml:space="preserve"> Aayush </t>
  </si>
  <si>
    <t xml:space="preserve"> Shanaya </t>
  </si>
  <si>
    <t>Borde</t>
  </si>
  <si>
    <t xml:space="preserve"> Mangal </t>
  </si>
  <si>
    <t>Tiwari</t>
  </si>
  <si>
    <t>Lall</t>
  </si>
  <si>
    <t xml:space="preserve"> Zain </t>
  </si>
  <si>
    <t>Ahluwalia</t>
  </si>
  <si>
    <t>Char</t>
  </si>
  <si>
    <t xml:space="preserve"> Lala </t>
  </si>
  <si>
    <t>Alisha</t>
  </si>
  <si>
    <t xml:space="preserve"> Sana </t>
  </si>
  <si>
    <t>Armaan</t>
  </si>
  <si>
    <t>Mander</t>
  </si>
  <si>
    <t>Vritika</t>
  </si>
  <si>
    <t>Vardaniya</t>
  </si>
  <si>
    <t xml:space="preserve"> Sharma </t>
  </si>
  <si>
    <t xml:space="preserve"> Mohanlal </t>
  </si>
  <si>
    <t>Krishnan</t>
  </si>
  <si>
    <t>Sara</t>
  </si>
  <si>
    <t xml:space="preserve"> Koshy </t>
  </si>
  <si>
    <t xml:space="preserve"> Sethi </t>
  </si>
  <si>
    <t xml:space="preserve"> Jhanvi </t>
  </si>
  <si>
    <t xml:space="preserve"> Darshit </t>
  </si>
  <si>
    <t xml:space="preserve"> Suresh </t>
  </si>
  <si>
    <t>Jhanvi</t>
  </si>
  <si>
    <t>Advik</t>
  </si>
  <si>
    <t xml:space="preserve"> Swaminathan </t>
  </si>
  <si>
    <t>Loke</t>
  </si>
  <si>
    <t xml:space="preserve"> Comar </t>
  </si>
  <si>
    <t xml:space="preserve"> Rhea </t>
  </si>
  <si>
    <t>Aaina</t>
  </si>
  <si>
    <t>Bhatia</t>
  </si>
  <si>
    <t xml:space="preserve"> Chawla </t>
  </si>
  <si>
    <t xml:space="preserve"> Thaman </t>
  </si>
  <si>
    <t xml:space="preserve"> Vaidya </t>
  </si>
  <si>
    <t xml:space="preserve"> Edwin </t>
  </si>
  <si>
    <t xml:space="preserve"> Kari </t>
  </si>
  <si>
    <t>Mohanlal</t>
  </si>
  <si>
    <t>Mall</t>
  </si>
  <si>
    <t>CA-2011-100293</t>
  </si>
  <si>
    <t>CA-2011-100706</t>
  </si>
  <si>
    <t>CA-2011-100895</t>
  </si>
  <si>
    <t>CA-2011-100916</t>
  </si>
  <si>
    <t>CA-2011-101560</t>
  </si>
  <si>
    <t>CA-2011-101770</t>
  </si>
  <si>
    <t>CA-2011-102274</t>
  </si>
  <si>
    <t>CA-2011-102673</t>
  </si>
  <si>
    <t>CA-2011-102988</t>
  </si>
  <si>
    <t>CA-2011-103317</t>
  </si>
  <si>
    <t>CA-2011-103366</t>
  </si>
  <si>
    <t>CA-2011-103807</t>
  </si>
  <si>
    <t>CA-2011-103989</t>
  </si>
  <si>
    <t>CA-2011-106054</t>
  </si>
  <si>
    <t>CA-2011-106810</t>
  </si>
  <si>
    <t>CA-2011-107573</t>
  </si>
  <si>
    <t>CA-2011-107811</t>
  </si>
  <si>
    <t>CA-2011-108707</t>
  </si>
  <si>
    <t>CA-2011-109043</t>
  </si>
  <si>
    <t>CA-2011-109232</t>
  </si>
  <si>
    <t>CA-2011-110100</t>
  </si>
  <si>
    <t>CA-2011-110408</t>
  </si>
  <si>
    <t>CA-2011-110422</t>
  </si>
  <si>
    <t>CA-2011-111500</t>
  </si>
  <si>
    <t>CA-2011-111934</t>
  </si>
  <si>
    <t>CA-2011-112718</t>
  </si>
  <si>
    <t>CA-2011-113047</t>
  </si>
  <si>
    <t>CA-2011-113166</t>
  </si>
  <si>
    <t>CA-2011-114314</t>
  </si>
  <si>
    <t>CA-2011-114321</t>
  </si>
  <si>
    <t>CA-2011-114335</t>
  </si>
  <si>
    <t>CA-2011-114790</t>
  </si>
  <si>
    <t>CA-2011-115084</t>
  </si>
  <si>
    <t>CA-2011-115357</t>
  </si>
  <si>
    <t>CA-2011-116190</t>
  </si>
  <si>
    <t>CA-2011-116239</t>
  </si>
  <si>
    <t>CA-2011-116407</t>
  </si>
  <si>
    <t>CA-2011-117016</t>
  </si>
  <si>
    <t>CA-2011-117345</t>
  </si>
  <si>
    <t>CA-2011-117639</t>
  </si>
  <si>
    <t>CA-2011-120432</t>
  </si>
  <si>
    <t>CA-2011-120670</t>
  </si>
  <si>
    <t>CA-2011-120768</t>
  </si>
  <si>
    <t>CA-2011-120950</t>
  </si>
  <si>
    <t>CA-2011-121286</t>
  </si>
  <si>
    <t>CA-2011-122217</t>
  </si>
  <si>
    <t>CA-2011-123400</t>
  </si>
  <si>
    <t>CA-2011-123925</t>
  </si>
  <si>
    <t>CA-2011-124023</t>
  </si>
  <si>
    <t>CA-2011-124618</t>
  </si>
  <si>
    <t>CA-2011-124688</t>
  </si>
  <si>
    <t>CA-2011-125136</t>
  </si>
  <si>
    <t>CA-2011-125682</t>
  </si>
  <si>
    <t>CA-2011-127299</t>
  </si>
  <si>
    <t>CA-2011-127488</t>
  </si>
  <si>
    <t>CA-2011-127614</t>
  </si>
  <si>
    <t>CA-2011-128839</t>
  </si>
  <si>
    <t>CA-2011-128846</t>
  </si>
  <si>
    <t>CA-2011-129091</t>
  </si>
  <si>
    <t>CA-2011-129819</t>
  </si>
  <si>
    <t>CA-2011-130155</t>
  </si>
  <si>
    <t>CA-2011-130918</t>
  </si>
  <si>
    <t>CA-2011-131527</t>
  </si>
  <si>
    <t>CA-2011-131541</t>
  </si>
  <si>
    <t>CA-2011-131905</t>
  </si>
  <si>
    <t>CA-2011-132010</t>
  </si>
  <si>
    <t>CA-2011-132612</t>
  </si>
  <si>
    <t>CA-2011-133634</t>
  </si>
  <si>
    <t>CA-2011-134551</t>
  </si>
  <si>
    <t>CA-2011-134621</t>
  </si>
  <si>
    <t>CA-2011-136336</t>
  </si>
  <si>
    <t>CA-2011-136567</t>
  </si>
  <si>
    <t>CA-2011-136861</t>
  </si>
  <si>
    <t>CA-2011-137911</t>
  </si>
  <si>
    <t>CA-2011-138296</t>
  </si>
  <si>
    <t>CA-2011-138527</t>
  </si>
  <si>
    <t>CA-2011-138709</t>
  </si>
  <si>
    <t>CA-2011-140165</t>
  </si>
  <si>
    <t>CA-2011-140886</t>
  </si>
  <si>
    <t>CA-2011-142727</t>
  </si>
  <si>
    <t>CA-2011-142951</t>
  </si>
  <si>
    <t>CA-2011-143182</t>
  </si>
  <si>
    <t>CA-2011-143840</t>
  </si>
  <si>
    <t>CA-2011-145317</t>
  </si>
  <si>
    <t>CA-2011-145576</t>
  </si>
  <si>
    <t>CA-2011-146731</t>
  </si>
  <si>
    <t>CA-2011-146885</t>
  </si>
  <si>
    <t>CA-2011-148285</t>
  </si>
  <si>
    <t>CA-2011-148425</t>
  </si>
  <si>
    <t>CA-2011-149020</t>
  </si>
  <si>
    <t>CA-2011-149538</t>
  </si>
  <si>
    <t>CA-2011-151953</t>
  </si>
  <si>
    <t>CA-2011-151967</t>
  </si>
  <si>
    <t>CA-2011-152254</t>
  </si>
  <si>
    <t>CA-2011-152268</t>
  </si>
  <si>
    <t>CA-2011-152562</t>
  </si>
  <si>
    <t>CA-2011-152849</t>
  </si>
  <si>
    <t>CA-2011-153087</t>
  </si>
  <si>
    <t>CA-2011-153913</t>
  </si>
  <si>
    <t>CA-2011-153927</t>
  </si>
  <si>
    <t>CA-2011-154158</t>
  </si>
  <si>
    <t>CA-2011-155208</t>
  </si>
  <si>
    <t>CA-2011-155390</t>
  </si>
  <si>
    <t>CA-2011-155852</t>
  </si>
  <si>
    <t>CA-2011-156006</t>
  </si>
  <si>
    <t>CA-2011-156244</t>
  </si>
  <si>
    <t>CA-2011-156790</t>
  </si>
  <si>
    <t>CA-2011-157609</t>
  </si>
  <si>
    <t>CA-2011-157784</t>
  </si>
  <si>
    <t>CA-2011-158274</t>
  </si>
  <si>
    <t>CA-2011-158470</t>
  </si>
  <si>
    <t>CA-2011-158771</t>
  </si>
  <si>
    <t>CA-2011-159184</t>
  </si>
  <si>
    <t>CA-2011-159681</t>
  </si>
  <si>
    <t>CA-2011-160094</t>
  </si>
  <si>
    <t>CA-2011-160276</t>
  </si>
  <si>
    <t>CA-2011-160773</t>
  </si>
  <si>
    <t>CA-2011-161634</t>
  </si>
  <si>
    <t>CA-2011-162775</t>
  </si>
  <si>
    <t>CA-2011-163013</t>
  </si>
  <si>
    <t>CA-2011-163223</t>
  </si>
  <si>
    <t>CA-2011-164315</t>
  </si>
  <si>
    <t>CA-2011-164749</t>
  </si>
  <si>
    <t>CA-2011-164910</t>
  </si>
  <si>
    <t>CA-2011-165764</t>
  </si>
  <si>
    <t>CA-2011-165806</t>
  </si>
  <si>
    <t>CA-2011-166051</t>
  </si>
  <si>
    <t>CA-2011-166457</t>
  </si>
  <si>
    <t>CA-2011-166730</t>
  </si>
  <si>
    <t>CA-2011-167199</t>
  </si>
  <si>
    <t>CA-2011-167850</t>
  </si>
  <si>
    <t>CA-2011-169257</t>
  </si>
  <si>
    <t>CA-2011-169684</t>
  </si>
  <si>
    <t>CA-2011-169775</t>
  </si>
  <si>
    <t>CA-2012-100769</t>
  </si>
  <si>
    <t>CA-2012-100888</t>
  </si>
  <si>
    <t>CA-2012-101868</t>
  </si>
  <si>
    <t>CA-2012-102260</t>
  </si>
  <si>
    <t>CA-2012-102491</t>
  </si>
  <si>
    <t>CA-2012-102582</t>
  </si>
  <si>
    <t>CA-2012-102722</t>
  </si>
  <si>
    <t>CA-2012-102778</t>
  </si>
  <si>
    <t>CA-2012-103093</t>
  </si>
  <si>
    <t>CA-2012-103135</t>
  </si>
  <si>
    <t>CA-2012-103793</t>
  </si>
  <si>
    <t>CA-2012-103870</t>
  </si>
  <si>
    <t>CA-2012-104038</t>
  </si>
  <si>
    <t>CA-2012-104115</t>
  </si>
  <si>
    <t>CA-2012-104241</t>
  </si>
  <si>
    <t>CA-2012-104941</t>
  </si>
  <si>
    <t>CA-2012-105571</t>
  </si>
  <si>
    <t>CA-2012-106187</t>
  </si>
  <si>
    <t>CA-2012-107678</t>
  </si>
  <si>
    <t>CA-2012-108119</t>
  </si>
  <si>
    <t>CA-2012-108259</t>
  </si>
  <si>
    <t>CA-2012-109386</t>
  </si>
  <si>
    <t>CA-2012-109470</t>
  </si>
  <si>
    <t>CA-2012-109708</t>
  </si>
  <si>
    <t>CA-2012-110247</t>
  </si>
  <si>
    <t>CA-2012-110345</t>
  </si>
  <si>
    <t>CA-2012-110947</t>
  </si>
  <si>
    <t>CA-2012-111199</t>
  </si>
  <si>
    <t>CA-2012-111703</t>
  </si>
  <si>
    <t>CA-2012-112375</t>
  </si>
  <si>
    <t>CA-2012-113628</t>
  </si>
  <si>
    <t>CA-2012-114300</t>
  </si>
  <si>
    <t>CA-2012-114503</t>
  </si>
  <si>
    <t>CA-2012-115091</t>
  </si>
  <si>
    <t>CA-2012-115847</t>
  </si>
  <si>
    <t>CA-2012-115938</t>
  </si>
  <si>
    <t>CA-2012-116638</t>
  </si>
  <si>
    <t>CA-2012-116750</t>
  </si>
  <si>
    <t>CA-2012-117828</t>
  </si>
  <si>
    <t>CA-2012-117884</t>
  </si>
  <si>
    <t>CA-2012-118444</t>
  </si>
  <si>
    <t>CA-2012-118843</t>
  </si>
  <si>
    <t>CA-2012-119480</t>
  </si>
  <si>
    <t>CA-2012-119592</t>
  </si>
  <si>
    <t>CA-2012-119634</t>
  </si>
  <si>
    <t>CA-2012-120516</t>
  </si>
  <si>
    <t>CA-2012-120621</t>
  </si>
  <si>
    <t>CA-2012-120845</t>
  </si>
  <si>
    <t>CA-2012-121552</t>
  </si>
  <si>
    <t>CA-2012-121720</t>
  </si>
  <si>
    <t>CA-2012-122168</t>
  </si>
  <si>
    <t>CA-2012-122266</t>
  </si>
  <si>
    <t>CA-2012-123092</t>
  </si>
  <si>
    <t>CA-2012-123330</t>
  </si>
  <si>
    <t>CA-2012-125066</t>
  </si>
  <si>
    <t>CA-2012-125563</t>
  </si>
  <si>
    <t>CA-2012-125696</t>
  </si>
  <si>
    <t>CA-2012-125976</t>
  </si>
  <si>
    <t>CA-2012-128027</t>
  </si>
  <si>
    <t>CA-2012-128083</t>
  </si>
  <si>
    <t>CA-2012-128139</t>
  </si>
  <si>
    <t>CA-2012-128958</t>
  </si>
  <si>
    <t>CA-2012-129098</t>
  </si>
  <si>
    <t>CA-2012-130218</t>
  </si>
  <si>
    <t>CA-2012-131422</t>
  </si>
  <si>
    <t>CA-2012-132318</t>
  </si>
  <si>
    <t>CA-2012-133242</t>
  </si>
  <si>
    <t>CA-2012-133396</t>
  </si>
  <si>
    <t>CA-2012-133977</t>
  </si>
  <si>
    <t>CA-2012-134257</t>
  </si>
  <si>
    <t>CA-2012-134719</t>
  </si>
  <si>
    <t>CA-2012-134782</t>
  </si>
  <si>
    <t>CA-2012-134894</t>
  </si>
  <si>
    <t>CA-2012-134992</t>
  </si>
  <si>
    <t>CA-2012-135510</t>
  </si>
  <si>
    <t>CA-2012-136147</t>
  </si>
  <si>
    <t>CA-2012-136224</t>
  </si>
  <si>
    <t>CA-2012-137106</t>
  </si>
  <si>
    <t>CA-2012-137281</t>
  </si>
  <si>
    <t>CA-2012-137974</t>
  </si>
  <si>
    <t>CA-2012-138457</t>
  </si>
  <si>
    <t>CA-2012-138625</t>
  </si>
  <si>
    <t>CA-2012-140718</t>
  </si>
  <si>
    <t>CA-2012-140830</t>
  </si>
  <si>
    <t>CA-2012-141145</t>
  </si>
  <si>
    <t>CA-2012-141327</t>
  </si>
  <si>
    <t>CA-2012-141565</t>
  </si>
  <si>
    <t>CA-2012-141754</t>
  </si>
  <si>
    <t>CA-2012-142202</t>
  </si>
  <si>
    <t>CA-2012-142755</t>
  </si>
  <si>
    <t>CA-2012-143119</t>
  </si>
  <si>
    <t>CA-2012-143532</t>
  </si>
  <si>
    <t>CA-2012-144288</t>
  </si>
  <si>
    <t>CA-2012-145324</t>
  </si>
  <si>
    <t>CA-2012-145352</t>
  </si>
  <si>
    <t>CA-2012-147011</t>
  </si>
  <si>
    <t>CA-2012-147102</t>
  </si>
  <si>
    <t>CA-2012-147529</t>
  </si>
  <si>
    <t>CA-2012-147879</t>
  </si>
  <si>
    <t>CA-2012-148705</t>
  </si>
  <si>
    <t>CA-2012-149300</t>
  </si>
  <si>
    <t>CA-2012-149342</t>
  </si>
  <si>
    <t>CA-2012-149734</t>
  </si>
  <si>
    <t>CA-2012-150308</t>
  </si>
  <si>
    <t>CA-2012-150560</t>
  </si>
  <si>
    <t>CA-2012-150749</t>
  </si>
  <si>
    <t>CA-2012-151547</t>
  </si>
  <si>
    <t>CA-2012-151624</t>
  </si>
  <si>
    <t>CA-2012-153038</t>
  </si>
  <si>
    <t>CA-2012-153325</t>
  </si>
  <si>
    <t>CA-2012-153535</t>
  </si>
  <si>
    <t>CA-2012-153549</t>
  </si>
  <si>
    <t>CA-2012-153626</t>
  </si>
  <si>
    <t>CA-2012-153752</t>
  </si>
  <si>
    <t>CA-2012-154291</t>
  </si>
  <si>
    <t>CA-2012-154746</t>
  </si>
  <si>
    <t>CA-2012-154921</t>
  </si>
  <si>
    <t>CA-2012-155068</t>
  </si>
  <si>
    <t>CA-2012-155453</t>
  </si>
  <si>
    <t>CA-2012-155600</t>
  </si>
  <si>
    <t>CA-2012-155635</t>
  </si>
  <si>
    <t>CA-2012-156328</t>
  </si>
  <si>
    <t>CA-2012-156734</t>
  </si>
  <si>
    <t>CA-2012-158148</t>
  </si>
  <si>
    <t>CA-2012-158323</t>
  </si>
  <si>
    <t>CA-2012-158421</t>
  </si>
  <si>
    <t>CA-2012-160059</t>
  </si>
  <si>
    <t>CA-2012-160696</t>
  </si>
  <si>
    <t>CA-2012-161445</t>
  </si>
  <si>
    <t>CA-2012-161998</t>
  </si>
  <si>
    <t>CA-2012-162201</t>
  </si>
  <si>
    <t>CA-2012-162537</t>
  </si>
  <si>
    <t>CA-2012-162761</t>
  </si>
  <si>
    <t>CA-2012-163237</t>
  </si>
  <si>
    <t>CA-2012-163923</t>
  </si>
  <si>
    <t>CA-2012-163965</t>
  </si>
  <si>
    <t>CA-2012-164427</t>
  </si>
  <si>
    <t>CA-2012-165414</t>
  </si>
  <si>
    <t>CA-2012-165624</t>
  </si>
  <si>
    <t>CA-2012-166604</t>
  </si>
  <si>
    <t>CA-2012-166975</t>
  </si>
  <si>
    <t>CA-2012-167696</t>
  </si>
  <si>
    <t>CA-2012-168004</t>
  </si>
  <si>
    <t>CA-2012-168459</t>
  </si>
  <si>
    <t>CA-2012-169572</t>
  </si>
  <si>
    <t>CA-2012-169677</t>
  </si>
  <si>
    <t>CA-2012-169733</t>
  </si>
  <si>
    <t>CA-2012-169740</t>
  </si>
  <si>
    <t>CA-2013-100307</t>
  </si>
  <si>
    <t>CA-2013-101378</t>
  </si>
  <si>
    <t>CA-2013-101469</t>
  </si>
  <si>
    <t>CA-2013-101525</t>
  </si>
  <si>
    <t>CA-2013-102092</t>
  </si>
  <si>
    <t>CA-2013-102162</t>
  </si>
  <si>
    <t>CA-2013-102498</t>
  </si>
  <si>
    <t>CA-2013-104157</t>
  </si>
  <si>
    <t>CA-2013-104276</t>
  </si>
  <si>
    <t>CA-2013-105256</t>
  </si>
  <si>
    <t>CA-2013-105662</t>
  </si>
  <si>
    <t>CA-2013-105753</t>
  </si>
  <si>
    <t>CA-2013-106558</t>
  </si>
  <si>
    <t>CA-2013-106894</t>
  </si>
  <si>
    <t>CA-2013-106950</t>
  </si>
  <si>
    <t>CA-2013-108105</t>
  </si>
  <si>
    <t>CA-2013-108567</t>
  </si>
  <si>
    <t>CA-2013-108616</t>
  </si>
  <si>
    <t>CA-2013-109344</t>
  </si>
  <si>
    <t>CA-2013-109407</t>
  </si>
  <si>
    <t>CA-2013-109722</t>
  </si>
  <si>
    <t>CA-2013-109743</t>
  </si>
  <si>
    <t>CA-2013-109911</t>
  </si>
  <si>
    <t>CA-2013-110254</t>
  </si>
  <si>
    <t>CA-2013-110492</t>
  </si>
  <si>
    <t>CA-2013-111409</t>
  </si>
  <si>
    <t>CA-2013-111605</t>
  </si>
  <si>
    <t>CA-2013-112102</t>
  </si>
  <si>
    <t>CA-2013-112277</t>
  </si>
  <si>
    <t>CA-2013-112676</t>
  </si>
  <si>
    <t>CA-2013-112697</t>
  </si>
  <si>
    <t>CA-2013-113236</t>
  </si>
  <si>
    <t>CA-2013-113292</t>
  </si>
  <si>
    <t>CA-2013-113733</t>
  </si>
  <si>
    <t>CA-2013-113747</t>
  </si>
  <si>
    <t>CA-2013-113831</t>
  </si>
  <si>
    <t>CA-2013-113845</t>
  </si>
  <si>
    <t>CA-2013-114713</t>
  </si>
  <si>
    <t>CA-2013-115504</t>
  </si>
  <si>
    <t>CA-2013-116232</t>
  </si>
  <si>
    <t>CA-2013-116764</t>
  </si>
  <si>
    <t>CA-2013-116918</t>
  </si>
  <si>
    <t>CA-2013-117604</t>
  </si>
  <si>
    <t>CA-2013-118073</t>
  </si>
  <si>
    <t>CA-2013-118178</t>
  </si>
  <si>
    <t>CA-2013-118514</t>
  </si>
  <si>
    <t>CA-2013-118626</t>
  </si>
  <si>
    <t>CA-2013-118934</t>
  </si>
  <si>
    <t>CA-2013-119074</t>
  </si>
  <si>
    <t>CA-2013-119515</t>
  </si>
  <si>
    <t>CA-2013-119823</t>
  </si>
  <si>
    <t>CA-2013-120873</t>
  </si>
  <si>
    <t>CA-2013-121020</t>
  </si>
  <si>
    <t>CA-2013-121958</t>
  </si>
  <si>
    <t>CA-2013-122518</t>
  </si>
  <si>
    <t>CA-2013-123176</t>
  </si>
  <si>
    <t>CA-2013-123414</t>
  </si>
  <si>
    <t>CA-2013-123533</t>
  </si>
  <si>
    <t>CA-2013-123617</t>
  </si>
  <si>
    <t>CA-2013-123946</t>
  </si>
  <si>
    <t>CA-2013-124254</t>
  </si>
  <si>
    <t>CA-2013-124772</t>
  </si>
  <si>
    <t>CA-2013-125017</t>
  </si>
  <si>
    <t>CA-2013-125843</t>
  </si>
  <si>
    <t>CA-2013-127208</t>
  </si>
  <si>
    <t>CA-2013-127698</t>
  </si>
  <si>
    <t>CA-2013-127985</t>
  </si>
  <si>
    <t>CA-2013-130001</t>
  </si>
  <si>
    <t>CA-2013-130442</t>
  </si>
  <si>
    <t>CA-2013-130820</t>
  </si>
  <si>
    <t>CA-2013-131065</t>
  </si>
  <si>
    <t>CA-2013-131205</t>
  </si>
  <si>
    <t>CA-2013-131968</t>
  </si>
  <si>
    <t>CA-2013-132549</t>
  </si>
  <si>
    <t>CA-2013-133123</t>
  </si>
  <si>
    <t>CA-2013-133368</t>
  </si>
  <si>
    <t>CA-2013-133711</t>
  </si>
  <si>
    <t>CA-2013-133872</t>
  </si>
  <si>
    <t>CA-2013-134208</t>
  </si>
  <si>
    <t>CA-2013-134474</t>
  </si>
  <si>
    <t>CA-2013-134516</t>
  </si>
  <si>
    <t>CA-2013-134789</t>
  </si>
  <si>
    <t>CA-2013-135636</t>
  </si>
  <si>
    <t>CA-2013-136126</t>
  </si>
  <si>
    <t>CA-2013-136231</t>
  </si>
  <si>
    <t>CA-2013-136322</t>
  </si>
  <si>
    <t>CA-2013-136483</t>
  </si>
  <si>
    <t>CA-2013-137043</t>
  </si>
  <si>
    <t>CA-2013-137736</t>
  </si>
  <si>
    <t>CA-2013-138695</t>
  </si>
  <si>
    <t>CA-2013-139269</t>
  </si>
  <si>
    <t>CA-2013-139381</t>
  </si>
  <si>
    <t>CA-2013-139689</t>
  </si>
  <si>
    <t>CA-2013-140543</t>
  </si>
  <si>
    <t>CA-2013-140571</t>
  </si>
  <si>
    <t>CA-2013-140641</t>
  </si>
  <si>
    <t>CA-2013-140928</t>
  </si>
  <si>
    <t>CA-2013-140977</t>
  </si>
  <si>
    <t>CA-2013-141180</t>
  </si>
  <si>
    <t>CA-2013-142097</t>
  </si>
  <si>
    <t>CA-2013-142370</t>
  </si>
  <si>
    <t>CA-2013-142895</t>
  </si>
  <si>
    <t>CA-2013-143308</t>
  </si>
  <si>
    <t>CA-2013-143805</t>
  </si>
  <si>
    <t>CA-2013-144344</t>
  </si>
  <si>
    <t>CA-2013-145247</t>
  </si>
  <si>
    <t>CA-2013-145499</t>
  </si>
  <si>
    <t>CA-2013-145709</t>
  </si>
  <si>
    <t>CA-2013-145905</t>
  </si>
  <si>
    <t>CA-2013-146143</t>
  </si>
  <si>
    <t>CA-2013-146150</t>
  </si>
  <si>
    <t>CA-2013-146171</t>
  </si>
  <si>
    <t>CA-2013-147368</t>
  </si>
  <si>
    <t>CA-2013-148684</t>
  </si>
  <si>
    <t>CA-2013-149111</t>
  </si>
  <si>
    <t>CA-2013-149454</t>
  </si>
  <si>
    <t>CA-2013-149783</t>
  </si>
  <si>
    <t>CA-2013-149979</t>
  </si>
  <si>
    <t>CA-2013-150000</t>
  </si>
  <si>
    <t>CA-2013-151155</t>
  </si>
  <si>
    <t>CA-2013-152156</t>
  </si>
  <si>
    <t>CA-2013-152163</t>
  </si>
  <si>
    <t>CA-2013-152471</t>
  </si>
  <si>
    <t>CA-2013-153318</t>
  </si>
  <si>
    <t>CA-2013-154060</t>
  </si>
  <si>
    <t>CA-2013-154403</t>
  </si>
  <si>
    <t>CA-2013-154690</t>
  </si>
  <si>
    <t>CA-2013-155138</t>
  </si>
  <si>
    <t>CA-2013-155439</t>
  </si>
  <si>
    <t>CA-2013-155670</t>
  </si>
  <si>
    <t>CA-2013-156503</t>
  </si>
  <si>
    <t>CA-2013-156573</t>
  </si>
  <si>
    <t>CA-2013-157161</t>
  </si>
  <si>
    <t>CA-2013-157245</t>
  </si>
  <si>
    <t>CA-2013-157280</t>
  </si>
  <si>
    <t>CA-2013-157364</t>
  </si>
  <si>
    <t>CA-2013-157588</t>
  </si>
  <si>
    <t>CA-2013-157763</t>
  </si>
  <si>
    <t>CA-2013-158841</t>
  </si>
  <si>
    <t>CA-2013-159142</t>
  </si>
  <si>
    <t>CA-2013-159212</t>
  </si>
  <si>
    <t>CA-2013-159653</t>
  </si>
  <si>
    <t>CA-2013-159765</t>
  </si>
  <si>
    <t>CA-2013-159891</t>
  </si>
  <si>
    <t>CA-2013-159989</t>
  </si>
  <si>
    <t>CA-2013-160234</t>
  </si>
  <si>
    <t>CA-2013-160486</t>
  </si>
  <si>
    <t>CA-2013-160598</t>
  </si>
  <si>
    <t>CA-2013-162159</t>
  </si>
  <si>
    <t>CA-2013-162236</t>
  </si>
  <si>
    <t>CA-2013-162355</t>
  </si>
  <si>
    <t>CA-2013-162747</t>
  </si>
  <si>
    <t>CA-2013-162901</t>
  </si>
  <si>
    <t>CA-2013-163167</t>
  </si>
  <si>
    <t>CA-2013-163174</t>
  </si>
  <si>
    <t>CA-2013-163776</t>
  </si>
  <si>
    <t>CA-2013-164350</t>
  </si>
  <si>
    <t>CA-2013-164574</t>
  </si>
  <si>
    <t>CA-2013-164735</t>
  </si>
  <si>
    <t>CA-2013-164784</t>
  </si>
  <si>
    <t>CA-2013-165316</t>
  </si>
  <si>
    <t>CA-2013-165470</t>
  </si>
  <si>
    <t>CA-2013-165827</t>
  </si>
  <si>
    <t>CA-2013-166282</t>
  </si>
  <si>
    <t>CA-2013-166380</t>
  </si>
  <si>
    <t>CA-2013-166485</t>
  </si>
  <si>
    <t>CA-2013-168536</t>
  </si>
  <si>
    <t>CA-2013-168753</t>
  </si>
  <si>
    <t>CA-2013-168893</t>
  </si>
  <si>
    <t>CA-2013-169026</t>
  </si>
  <si>
    <t>CA-2013-169103</t>
  </si>
  <si>
    <t>CA-2013-169334</t>
  </si>
  <si>
    <t>CA-2014-100412</t>
  </si>
  <si>
    <t>CA-2014-100426</t>
  </si>
  <si>
    <t>CA-2014-100622</t>
  </si>
  <si>
    <t>CA-2014-100902</t>
  </si>
  <si>
    <t>CA-2014-101042</t>
  </si>
  <si>
    <t>CA-2014-101210</t>
  </si>
  <si>
    <t>CA-2014-101273</t>
  </si>
  <si>
    <t>CA-2014-101483</t>
  </si>
  <si>
    <t>CA-2014-102204</t>
  </si>
  <si>
    <t>CA-2014-102309</t>
  </si>
  <si>
    <t>CA-2014-102554</t>
  </si>
  <si>
    <t>CA-2014-102610</t>
  </si>
  <si>
    <t>CA-2014-102736</t>
  </si>
  <si>
    <t>CA-2014-103009</t>
  </si>
  <si>
    <t>CA-2014-103065</t>
  </si>
  <si>
    <t>CA-2014-103212</t>
  </si>
  <si>
    <t>CA-2014-103499</t>
  </si>
  <si>
    <t>CA-2014-104318</t>
  </si>
  <si>
    <t>CA-2014-104731</t>
  </si>
  <si>
    <t>CA-2014-104864</t>
  </si>
  <si>
    <t>CA-2014-105620</t>
  </si>
  <si>
    <t>CA-2014-106537</t>
  </si>
  <si>
    <t>CA-2014-107167</t>
  </si>
  <si>
    <t>CA-2014-107209</t>
  </si>
  <si>
    <t>CA-2014-107461</t>
  </si>
  <si>
    <t>CA-2014-108035</t>
  </si>
  <si>
    <t>CA-2014-108112</t>
  </si>
  <si>
    <t>CA-2014-108287</t>
  </si>
  <si>
    <t>CA-2014-108322</t>
  </si>
  <si>
    <t>CA-2014-109183</t>
  </si>
  <si>
    <t>CA-2014-109589</t>
  </si>
  <si>
    <t>CA-2014-110198</t>
  </si>
  <si>
    <t>CA-2014-110212</t>
  </si>
  <si>
    <t>CA-2014-110310</t>
  </si>
  <si>
    <t>CA-2014-110926</t>
  </si>
  <si>
    <t>CA-2014-112774</t>
  </si>
  <si>
    <t>CA-2014-113481</t>
  </si>
  <si>
    <t>CA-2014-113558</t>
  </si>
  <si>
    <t>CA-2014-113705</t>
  </si>
  <si>
    <t>CA-2014-114055</t>
  </si>
  <si>
    <t>CA-2014-114412</t>
  </si>
  <si>
    <t>CA-2014-114636</t>
  </si>
  <si>
    <t>CA-2014-115070</t>
  </si>
  <si>
    <t>CA-2014-115448</t>
  </si>
  <si>
    <t>CA-2014-115882</t>
  </si>
  <si>
    <t>CA-2014-116113</t>
  </si>
  <si>
    <t>CA-2014-116855</t>
  </si>
  <si>
    <t>CA-2014-116939</t>
  </si>
  <si>
    <t>CA-2014-117079</t>
  </si>
  <si>
    <t>CA-2014-117198</t>
  </si>
  <si>
    <t>CA-2014-117695</t>
  </si>
  <si>
    <t>CA-2014-118402</t>
  </si>
  <si>
    <t>CA-2014-119004</t>
  </si>
  <si>
    <t>CA-2014-119284</t>
  </si>
  <si>
    <t>CA-2014-119305</t>
  </si>
  <si>
    <t>CA-2014-119669</t>
  </si>
  <si>
    <t>CA-2014-120705</t>
  </si>
  <si>
    <t>CA-2014-120894</t>
  </si>
  <si>
    <t>CA-2014-121314</t>
  </si>
  <si>
    <t>CA-2014-121419</t>
  </si>
  <si>
    <t>CA-2014-121804</t>
  </si>
  <si>
    <t>CA-2014-121818</t>
  </si>
  <si>
    <t>CA-2014-122056</t>
  </si>
  <si>
    <t>CA-2014-122154</t>
  </si>
  <si>
    <t>CA-2014-122693</t>
  </si>
  <si>
    <t>CA-2014-122707</t>
  </si>
  <si>
    <t>CA-2014-122987</t>
  </si>
  <si>
    <t>CA-2014-122994</t>
  </si>
  <si>
    <t>CA-2014-123239</t>
  </si>
  <si>
    <t>CA-2014-123351</t>
  </si>
  <si>
    <t>CA-2014-123687</t>
  </si>
  <si>
    <t>CA-2014-124296</t>
  </si>
  <si>
    <t>CA-2014-124597</t>
  </si>
  <si>
    <t>CA-2014-124765</t>
  </si>
  <si>
    <t>CA-2014-124828</t>
  </si>
  <si>
    <t>CA-2014-124898</t>
  </si>
  <si>
    <t>Product Purchased</t>
  </si>
  <si>
    <t>Amount Paid</t>
  </si>
  <si>
    <t>Payment Status</t>
  </si>
  <si>
    <t>City</t>
  </si>
  <si>
    <t>Delivery Status</t>
  </si>
  <si>
    <t xml:space="preserve"> Monitor  </t>
  </si>
  <si>
    <t>Smartphone</t>
  </si>
  <si>
    <t xml:space="preserve"> Tablet  </t>
  </si>
  <si>
    <t xml:space="preserve"> Camera  </t>
  </si>
  <si>
    <t>Monitor</t>
  </si>
  <si>
    <t xml:space="preserve"> Smartwatch  </t>
  </si>
  <si>
    <t xml:space="preserve"> Mouse  </t>
  </si>
  <si>
    <t xml:space="preserve"> Keyboard  </t>
  </si>
  <si>
    <t xml:space="preserve"> Smartphone  </t>
  </si>
  <si>
    <t>Headphones</t>
  </si>
  <si>
    <t xml:space="preserve"> Laptop  </t>
  </si>
  <si>
    <t>Keyboard</t>
  </si>
  <si>
    <t>Smartwatch</t>
  </si>
  <si>
    <t>Tablet</t>
  </si>
  <si>
    <t xml:space="preserve"> Printer  </t>
  </si>
  <si>
    <t>Camera</t>
  </si>
  <si>
    <t>Printer</t>
  </si>
  <si>
    <t xml:space="preserve"> Headphones  </t>
  </si>
  <si>
    <t>Laptop</t>
  </si>
  <si>
    <t>Mouse</t>
  </si>
  <si>
    <t>Pending</t>
  </si>
  <si>
    <t xml:space="preserve"> Paid  </t>
  </si>
  <si>
    <t xml:space="preserve"> Failed  </t>
  </si>
  <si>
    <t>Paid</t>
  </si>
  <si>
    <t xml:space="preserve"> Pending  </t>
  </si>
  <si>
    <t>Failed</t>
  </si>
  <si>
    <t xml:space="preserve"> In Transit  </t>
  </si>
  <si>
    <t>Chennai</t>
  </si>
  <si>
    <t>Delivered</t>
  </si>
  <si>
    <t>In Transit</t>
  </si>
  <si>
    <t>Mumbai</t>
  </si>
  <si>
    <t xml:space="preserve"> Bangalore  </t>
  </si>
  <si>
    <t xml:space="preserve"> Delivered  </t>
  </si>
  <si>
    <t>Delhi</t>
  </si>
  <si>
    <t>Cancelled</t>
  </si>
  <si>
    <t>Kolkata</t>
  </si>
  <si>
    <t xml:space="preserve"> Kolkata  </t>
  </si>
  <si>
    <t xml:space="preserve"> Hyderabad  </t>
  </si>
  <si>
    <t>Hyderabad</t>
  </si>
  <si>
    <t xml:space="preserve"> Pune  </t>
  </si>
  <si>
    <t xml:space="preserve"> Mumbai  </t>
  </si>
  <si>
    <t xml:space="preserve"> Chennai  </t>
  </si>
  <si>
    <t xml:space="preserve"> Ahmedabad  </t>
  </si>
  <si>
    <t xml:space="preserve"> Delhi  </t>
  </si>
  <si>
    <t>Ahmedabad</t>
  </si>
  <si>
    <t xml:space="preserve"> Cancelled  </t>
  </si>
  <si>
    <t xml:space="preserve"> Surat  </t>
  </si>
  <si>
    <t>Bangalore</t>
  </si>
  <si>
    <t>Jaipur</t>
  </si>
  <si>
    <t xml:space="preserve"> Jaipur  </t>
  </si>
  <si>
    <t>Surat</t>
  </si>
  <si>
    <t>Pune</t>
  </si>
  <si>
    <t xml:space="preserve">  Dutta</t>
  </si>
  <si>
    <t xml:space="preserve">  Kapadia   </t>
  </si>
  <si>
    <t xml:space="preserve">  Bala</t>
  </si>
  <si>
    <t xml:space="preserve"> Sawhney</t>
  </si>
  <si>
    <t xml:space="preserve">   Headphones  </t>
  </si>
  <si>
    <t>singh</t>
  </si>
  <si>
    <t>nehmat</t>
  </si>
  <si>
    <t>ryan</t>
  </si>
  <si>
    <t>jivika</t>
  </si>
  <si>
    <t>rahul</t>
  </si>
  <si>
    <t>anahita</t>
  </si>
  <si>
    <t>tushar</t>
  </si>
  <si>
    <t>rania</t>
  </si>
  <si>
    <t>sara</t>
  </si>
  <si>
    <t xml:space="preserve">    Sethi</t>
  </si>
  <si>
    <t xml:space="preserve">      bhaskar</t>
  </si>
  <si>
    <t xml:space="preserve">      pal</t>
  </si>
  <si>
    <t xml:space="preserve">    Ravi </t>
  </si>
  <si>
    <t xml:space="preserve">  Gupta</t>
  </si>
  <si>
    <t xml:space="preserve">  Srivastava</t>
  </si>
  <si>
    <t>BOHRA</t>
  </si>
  <si>
    <t>TARA</t>
  </si>
  <si>
    <t>BOASE</t>
  </si>
  <si>
    <t>SINGH</t>
  </si>
  <si>
    <t>VEG</t>
  </si>
  <si>
    <t xml:space="preserve">  KRISH</t>
  </si>
  <si>
    <t>First Name,Last Name, order I'D, Purchase Date</t>
  </si>
  <si>
    <t>divan</t>
  </si>
  <si>
    <t xml:space="preserve">            CA-2011-101266</t>
  </si>
  <si>
    <t xml:space="preserve">       CA-2011-149958</t>
  </si>
  <si>
    <t xml:space="preserve">       CA-2011-130428</t>
  </si>
  <si>
    <t xml:space="preserve">      CA-2011-116568</t>
  </si>
  <si>
    <t xml:space="preserve">       CA-2011-104283</t>
  </si>
  <si>
    <t xml:space="preserve">      CA-2011-163293</t>
  </si>
  <si>
    <t xml:space="preserve">      CA-2012-103772</t>
  </si>
  <si>
    <t xml:space="preserve">    Smartwatch</t>
  </si>
  <si>
    <t xml:space="preserve">     Tablet  </t>
  </si>
  <si>
    <t xml:space="preserve">      Mouse  </t>
  </si>
  <si>
    <t xml:space="preserve">       Monitor  </t>
  </si>
  <si>
    <t xml:space="preserve">    Smartphone</t>
  </si>
  <si>
    <t xml:space="preserve">      Smartphone  </t>
  </si>
  <si>
    <t xml:space="preserve">      Smartwatch  </t>
  </si>
  <si>
    <t xml:space="preserve">        Laptop  </t>
  </si>
  <si>
    <t xml:space="preserve">        Camera  </t>
  </si>
  <si>
    <t xml:space="preserve">       Keyboard  </t>
  </si>
  <si>
    <t xml:space="preserve">      Laptop</t>
  </si>
  <si>
    <t xml:space="preserve">      Headphones  </t>
  </si>
  <si>
    <t xml:space="preserve">     Smartphone</t>
  </si>
  <si>
    <t xml:space="preserve">      Monitor  </t>
  </si>
  <si>
    <t xml:space="preserve">        Camera</t>
  </si>
  <si>
    <t xml:space="preserve">     Tablet</t>
  </si>
  <si>
    <t xml:space="preserve">        Headphones  </t>
  </si>
  <si>
    <t>InTransit</t>
  </si>
  <si>
    <t>CA-2011-101266</t>
  </si>
  <si>
    <t>CA-2011-149958</t>
  </si>
  <si>
    <t>Rahul Gupta</t>
  </si>
  <si>
    <t>Jivika Ravi</t>
  </si>
  <si>
    <t>Vanya Dutta</t>
  </si>
  <si>
    <t>Nehmat Pal</t>
  </si>
  <si>
    <t>Aaryahi Veg</t>
  </si>
  <si>
    <t>Ritvik Hayer</t>
  </si>
  <si>
    <t>Himmat Singh</t>
  </si>
  <si>
    <t>Samarth Chand</t>
  </si>
  <si>
    <t>Damini Divan</t>
  </si>
  <si>
    <t>Neelofar Aurora</t>
  </si>
  <si>
    <t>Rania Sawhney</t>
  </si>
  <si>
    <t>Samarth Kalita</t>
  </si>
  <si>
    <t>Samaira Ben</t>
  </si>
  <si>
    <t>Raunak Singh</t>
  </si>
  <si>
    <t>Zeeshan Badal</t>
  </si>
  <si>
    <t>Vaibhav Samra</t>
  </si>
  <si>
    <t>Misha Chad</t>
  </si>
  <si>
    <t>Vedika Srinivasan</t>
  </si>
  <si>
    <t>Nitara Rana</t>
  </si>
  <si>
    <t>Kavya Krish</t>
  </si>
  <si>
    <t>Himmat Dhar</t>
  </si>
  <si>
    <t>Sara Gala</t>
  </si>
  <si>
    <t>Nitya Shan</t>
  </si>
  <si>
    <t>Romil Srinivasan</t>
  </si>
  <si>
    <t>Advik Sarkar</t>
  </si>
  <si>
    <t>Riaan Amble</t>
  </si>
  <si>
    <t>Tushar Setty</t>
  </si>
  <si>
    <t>Seher Viswanathan</t>
  </si>
  <si>
    <t>Zoya Krish</t>
  </si>
  <si>
    <t>Manjari Balakrishnan</t>
  </si>
  <si>
    <t>Mehul Bedi</t>
  </si>
  <si>
    <t>Misha Atwal</t>
  </si>
  <si>
    <t>Sahil Ranganathan</t>
  </si>
  <si>
    <t>Piya Iyer</t>
  </si>
  <si>
    <t>Shaan Dey</t>
  </si>
  <si>
    <t>Riaan Kashyap</t>
  </si>
  <si>
    <t>Shalv Dass</t>
  </si>
  <si>
    <t>Sana Cheema</t>
  </si>
  <si>
    <t>Sumer Sangha</t>
  </si>
  <si>
    <t>Kanav Tailor</t>
  </si>
  <si>
    <t>Rania Hayer</t>
  </si>
  <si>
    <t>Anika Sankar</t>
  </si>
  <si>
    <t>Kavya Golla</t>
  </si>
  <si>
    <t>Hridaan Butala</t>
  </si>
  <si>
    <t>Lakshay Gaba</t>
  </si>
  <si>
    <t>Aarush Gopal</t>
  </si>
  <si>
    <t>Neelofar Mani</t>
  </si>
  <si>
    <t>Saira Shah</t>
  </si>
  <si>
    <t>Hazel Swamy</t>
  </si>
  <si>
    <t>Samar Hans</t>
  </si>
  <si>
    <t>Jiya Biswas</t>
  </si>
  <si>
    <t>Indrans Bassi</t>
  </si>
  <si>
    <t>Raghav Kar</t>
  </si>
  <si>
    <t>Purab Dora</t>
  </si>
  <si>
    <t>Nitara Vala</t>
  </si>
  <si>
    <t>Urvi Sha</t>
  </si>
  <si>
    <t>Samiha Dube</t>
  </si>
  <si>
    <t>Nitya Sathe</t>
  </si>
  <si>
    <t>Suhana Randhawa</t>
  </si>
  <si>
    <t>Kaira Bal</t>
  </si>
  <si>
    <t>Priyansh Kamdar</t>
  </si>
  <si>
    <t>Biju Chacko</t>
  </si>
  <si>
    <t>Myra Singhal</t>
  </si>
  <si>
    <t>Rohan Rana</t>
  </si>
  <si>
    <t>Miraya Sarraf</t>
  </si>
  <si>
    <t>Damini Bora</t>
  </si>
  <si>
    <t>Jivin Bath</t>
  </si>
  <si>
    <t>Yakshit Subramanian</t>
  </si>
  <si>
    <t>Bhavin Dubey</t>
  </si>
  <si>
    <t>Drishya Dhawan</t>
  </si>
  <si>
    <t>Arnav Roy</t>
  </si>
  <si>
    <t>Inaaya Divan</t>
  </si>
  <si>
    <t>Myra Korpal</t>
  </si>
  <si>
    <t>Hazel Bains</t>
  </si>
  <si>
    <t>Shray Yohannan</t>
  </si>
  <si>
    <t>Divit Bajaj</t>
  </si>
  <si>
    <t>Yuvraj Sodhi</t>
  </si>
  <si>
    <t>Shaan Lata</t>
  </si>
  <si>
    <t>Ishaan Bhasin</t>
  </si>
  <si>
    <t>Aarna Kota</t>
  </si>
  <si>
    <t>Taran Arya</t>
  </si>
  <si>
    <t>Vaibhav Dada</t>
  </si>
  <si>
    <t>Ahana Sabharwal</t>
  </si>
  <si>
    <t>Chirag Sodhi</t>
  </si>
  <si>
    <t>Bhavin Som</t>
  </si>
  <si>
    <t>Neysa Tandon</t>
  </si>
  <si>
    <t>Madhav Jha</t>
  </si>
  <si>
    <t>Hansh Sharaf</t>
  </si>
  <si>
    <t>Biju Ramesh</t>
  </si>
  <si>
    <t>Madhav Handa</t>
  </si>
  <si>
    <t>Ishita Gera</t>
  </si>
  <si>
    <t>Jivin Ghose</t>
  </si>
  <si>
    <t>Parinaaz Kota</t>
  </si>
  <si>
    <t>Kabir Zacharia</t>
  </si>
  <si>
    <t>Lakshit Manne</t>
  </si>
  <si>
    <t>Piya Kulkarni</t>
  </si>
  <si>
    <t>Stuvan Sampath</t>
  </si>
  <si>
    <t>Kabir Sampath</t>
  </si>
  <si>
    <t>Ahana Mannan</t>
  </si>
  <si>
    <t>Tarini Hans</t>
  </si>
  <si>
    <t>Jayan Karan</t>
  </si>
  <si>
    <t>Tara Master</t>
  </si>
  <si>
    <t>Taimur Gour</t>
  </si>
  <si>
    <t>Mehul Rana</t>
  </si>
  <si>
    <t>Nishith Chand</t>
  </si>
  <si>
    <t>Tarini Rajan</t>
  </si>
  <si>
    <t>Rohan Sane</t>
  </si>
  <si>
    <t>Advika Ravel</t>
  </si>
  <si>
    <t>Yuvaan Borde</t>
  </si>
  <si>
    <t>Ayesha Trivedi</t>
  </si>
  <si>
    <t>Hazel Bahri</t>
  </si>
  <si>
    <t>Manikya Randhawa</t>
  </si>
  <si>
    <t>Dhanuk Taneja</t>
  </si>
  <si>
    <t>Stuvan Thaker</t>
  </si>
  <si>
    <t>Eshani Arya</t>
  </si>
  <si>
    <t>Yakshit Sehgal</t>
  </si>
  <si>
    <t>Shalv Walia</t>
  </si>
  <si>
    <t>Aradhya Bhardwaj</t>
  </si>
  <si>
    <t>Ahana Sunder</t>
  </si>
  <si>
    <t>Kimaya Johal</t>
  </si>
  <si>
    <t>Ira Brar</t>
  </si>
  <si>
    <t>Taimur Rau</t>
  </si>
  <si>
    <t>Nitya Kapadia</t>
  </si>
  <si>
    <t>Suhana Luthra</t>
  </si>
  <si>
    <t>Vidur Aggarwal</t>
  </si>
  <si>
    <t>Jayant Tak</t>
  </si>
  <si>
    <t>Vanya Sibal</t>
  </si>
  <si>
    <t>Trisha Bava</t>
  </si>
  <si>
    <t>Yuvaan Shah</t>
  </si>
  <si>
    <t>Faiyaz Gaba</t>
  </si>
  <si>
    <t>Rhea Shanker</t>
  </si>
  <si>
    <t>Mehul Gara</t>
  </si>
  <si>
    <t>Ishaan Chand</t>
  </si>
  <si>
    <t>Ryan Andra</t>
  </si>
  <si>
    <t>Fateh Ahuja</t>
  </si>
  <si>
    <t>Manjari Shankar</t>
  </si>
  <si>
    <t>Manjari Kannan</t>
  </si>
  <si>
    <t>Madhav Mani</t>
  </si>
  <si>
    <t>Nehmat Ramaswamy</t>
  </si>
  <si>
    <t>Reyansh Chada</t>
  </si>
  <si>
    <t>Shalv Gara</t>
  </si>
  <si>
    <t>Kanav Chhabra</t>
  </si>
  <si>
    <t>Anika Krishna</t>
  </si>
  <si>
    <t>Jivika Dass</t>
  </si>
  <si>
    <t>Ranbir Agarwal</t>
  </si>
  <si>
    <t>Riaan Rama</t>
  </si>
  <si>
    <t>Kavya Bawa</t>
  </si>
  <si>
    <t>Madhup Hayre</t>
  </si>
  <si>
    <t>Kiara Kuruvilla</t>
  </si>
  <si>
    <t>Saanvi Mand</t>
  </si>
  <si>
    <t>Taran Hayer</t>
  </si>
  <si>
    <t>Mehul Bandi</t>
  </si>
  <si>
    <t>Zara Kulkarni</t>
  </si>
  <si>
    <t>Akarsh Srivastava</t>
  </si>
  <si>
    <t>Onkar Gandhi</t>
  </si>
  <si>
    <t>Samar Kaul</t>
  </si>
  <si>
    <t>Akarsh Sarma</t>
  </si>
  <si>
    <t>Reyansh Chaudhari</t>
  </si>
  <si>
    <t>Anahita Handa</t>
  </si>
  <si>
    <t>Adira Sachdev</t>
  </si>
  <si>
    <t>Abram Choudhry</t>
  </si>
  <si>
    <t>Abram Lata</t>
  </si>
  <si>
    <t>Yuvaan Cherian</t>
  </si>
  <si>
    <t>Jayant Kalita</t>
  </si>
  <si>
    <t>Yuvaan Trivedi</t>
  </si>
  <si>
    <t>Inaaya Golla</t>
  </si>
  <si>
    <t>Trisha Deep</t>
  </si>
  <si>
    <t>Kiara Balakrishnan</t>
  </si>
  <si>
    <t>Vaibhav Talwar</t>
  </si>
  <si>
    <t>Anvi Deol</t>
  </si>
  <si>
    <t>Rati Kapur</t>
  </si>
  <si>
    <t>Ira Chopra</t>
  </si>
  <si>
    <t>Shlok Salvi</t>
  </si>
  <si>
    <t>Hrishita Kamdar</t>
  </si>
  <si>
    <t>Nirvi Seth</t>
  </si>
  <si>
    <t>Shray Devan</t>
  </si>
  <si>
    <t>Saksham Buch</t>
  </si>
  <si>
    <t>Suhana Raja</t>
  </si>
  <si>
    <t>Samar Thakkar</t>
  </si>
  <si>
    <t>Badal Manda</t>
  </si>
  <si>
    <t>Trisha Sawhney</t>
  </si>
  <si>
    <t>Anahi Biswas</t>
  </si>
  <si>
    <t>Piya Vohra</t>
  </si>
  <si>
    <t>Indrans Saran</t>
  </si>
  <si>
    <t>Aniruddh Goda</t>
  </si>
  <si>
    <t>Sara Butala</t>
  </si>
  <si>
    <t>Yakshit Grewal</t>
  </si>
  <si>
    <t>Jayesh Sarin</t>
  </si>
  <si>
    <t>Gatik Gera</t>
  </si>
  <si>
    <t>Parinaaz Brar</t>
  </si>
  <si>
    <t>Veer Aggarwal</t>
  </si>
  <si>
    <t>Amani Dara</t>
  </si>
  <si>
    <t>Armaan Bhalla</t>
  </si>
  <si>
    <t>Uthkarsh Kala</t>
  </si>
  <si>
    <t>Jivin Mander</t>
  </si>
  <si>
    <t>Lavanya Din</t>
  </si>
  <si>
    <t>Aarush Lad</t>
  </si>
  <si>
    <t>Aayush Khatri</t>
  </si>
  <si>
    <t>Shanaya Borde</t>
  </si>
  <si>
    <t>Mannat Dugar</t>
  </si>
  <si>
    <t>Aarav Tiwari</t>
  </si>
  <si>
    <t>Mahika Lala</t>
  </si>
  <si>
    <t>Vidur Lall</t>
  </si>
  <si>
    <t>Armaan Mander</t>
  </si>
  <si>
    <t>Vritika Sawhney</t>
  </si>
  <si>
    <t>Mohanlal Sachar</t>
  </si>
  <si>
    <t>Umang Krishnan</t>
  </si>
  <si>
    <t>Tarini Brar</t>
  </si>
  <si>
    <t>Sara Koshy</t>
  </si>
  <si>
    <t>Darshit Suresh</t>
  </si>
  <si>
    <t>Jhanvi Ranganathan</t>
  </si>
  <si>
    <t>Mishti Shah</t>
  </si>
  <si>
    <t>Sana Loke</t>
  </si>
  <si>
    <t>Bhavin Comar</t>
  </si>
  <si>
    <t>Vardaniya Chad</t>
  </si>
  <si>
    <t>Zara Thaman</t>
  </si>
  <si>
    <t>Jayesh Vaidya</t>
  </si>
  <si>
    <t>Dhruv Gulati</t>
  </si>
  <si>
    <t>Rhea Edwin</t>
  </si>
  <si>
    <t>Gatik Kari</t>
  </si>
  <si>
    <t>Dhanush Lall</t>
  </si>
  <si>
    <t>Arhaan Magar</t>
  </si>
  <si>
    <t>Jhanvi Mani</t>
  </si>
  <si>
    <t>Piya Loyal</t>
  </si>
  <si>
    <t>Advik Swaminathan</t>
  </si>
  <si>
    <t>Anika Ravel</t>
  </si>
  <si>
    <t>Full Name</t>
  </si>
  <si>
    <t>order I'D</t>
  </si>
  <si>
    <t>Purchase Date</t>
  </si>
  <si>
    <t>Row Labels</t>
  </si>
  <si>
    <t>Grand Total</t>
  </si>
  <si>
    <t>Sum of Amount Paid</t>
  </si>
  <si>
    <t>Purchase Month</t>
  </si>
  <si>
    <t>Purchase Year</t>
  </si>
  <si>
    <t>Count of order I'D</t>
  </si>
  <si>
    <t>Total Revenue</t>
  </si>
  <si>
    <t>Total Orders</t>
  </si>
  <si>
    <t>Payment Success Rate</t>
  </si>
  <si>
    <t>Failure Rate</t>
  </si>
  <si>
    <t>Delivery Success Rate</t>
  </si>
  <si>
    <t>AOV</t>
  </si>
  <si>
    <t>Payment Success</t>
  </si>
  <si>
    <t>Delivery Success</t>
  </si>
  <si>
    <t>Panding Payment</t>
  </si>
  <si>
    <t>Pending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</si>
</sst>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quot;₹&quot;\ #,##0"/>
    <numFmt numFmtId="166" formatCode="&quot;₹&quot;\ #,##0.00"/>
  </numFmts>
  <fonts count="13" x14ac:knownFonts="1">
    <font>
      <sz val="11"/>
      <color theme="1"/>
      <name val="Calibri"/>
      <family val="2"/>
      <scheme val="minor"/>
    </font>
    <font>
      <b/>
      <sz val="11"/>
      <color theme="0"/>
      <name val="Calibri"/>
      <family val="2"/>
      <scheme val="minor"/>
    </font>
    <font>
      <b/>
      <sz val="11"/>
      <color theme="1"/>
      <name val="Calibri"/>
      <family val="2"/>
      <scheme val="minor"/>
    </font>
    <font>
      <i/>
      <sz val="11"/>
      <color theme="1"/>
      <name val="Calibri"/>
      <family val="2"/>
      <scheme val="minor"/>
    </font>
    <font>
      <u/>
      <sz val="11"/>
      <color theme="1"/>
      <name val="Calibri"/>
      <family val="2"/>
      <scheme val="minor"/>
    </font>
    <font>
      <sz val="11"/>
      <color rgb="FFC00000"/>
      <name val="Calibri"/>
      <family val="2"/>
      <scheme val="minor"/>
    </font>
    <font>
      <b/>
      <sz val="11"/>
      <color rgb="FFC00000"/>
      <name val="Calibri"/>
      <family val="2"/>
      <scheme val="minor"/>
    </font>
    <font>
      <b/>
      <sz val="12"/>
      <color theme="0"/>
      <name val="Times New Roman"/>
      <family val="1"/>
    </font>
    <font>
      <sz val="12"/>
      <color theme="1"/>
      <name val="Times New Roman"/>
      <family val="1"/>
    </font>
    <font>
      <sz val="11"/>
      <color theme="1"/>
      <name val="Calibri"/>
      <family val="2"/>
      <scheme val="minor"/>
    </font>
    <font>
      <b/>
      <sz val="22"/>
      <color theme="1"/>
      <name val="Calibri"/>
      <family val="2"/>
      <scheme val="minor"/>
    </font>
    <font>
      <sz val="14"/>
      <color rgb="FF000000"/>
      <name val="Calibri"/>
      <family val="2"/>
      <scheme val="minor"/>
    </font>
    <font>
      <b/>
      <sz val="32"/>
      <color rgb="FF000000"/>
      <name val="Calibri"/>
      <family val="2"/>
      <scheme val="minor"/>
    </font>
  </fonts>
  <fills count="10">
    <fill>
      <patternFill patternType="none"/>
    </fill>
    <fill>
      <patternFill patternType="gray125"/>
    </fill>
    <fill>
      <patternFill patternType="solid">
        <fgColor theme="8" tint="-0.49998474074526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00B050"/>
        <bgColor indexed="64"/>
      </patternFill>
    </fill>
    <fill>
      <patternFill patternType="solid">
        <fgColor theme="8" tint="0.59999389629810485"/>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9" fillId="0" borderId="0" applyFont="0" applyFill="0" applyBorder="0" applyAlignment="0" applyProtection="0"/>
  </cellStyleXfs>
  <cellXfs count="67">
    <xf numFmtId="0" fontId="0" fillId="0" borderId="0" xfId="0"/>
    <xf numFmtId="14" fontId="0" fillId="0" borderId="0" xfId="0" applyNumberFormat="1"/>
    <xf numFmtId="0" fontId="2" fillId="0" borderId="0" xfId="0" applyFont="1"/>
    <xf numFmtId="0" fontId="0" fillId="0" borderId="0" xfId="0" applyAlignment="1">
      <alignment horizontal="right"/>
    </xf>
    <xf numFmtId="0" fontId="0" fillId="0" borderId="0" xfId="0" applyAlignment="1">
      <alignment horizontal="center"/>
    </xf>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 fillId="2" borderId="1" xfId="0" applyFont="1" applyFill="1" applyBorder="1" applyAlignment="1">
      <alignment horizontal="center" vertical="top"/>
    </xf>
    <xf numFmtId="0" fontId="0" fillId="3" borderId="0" xfId="0" applyFill="1" applyAlignment="1">
      <alignment horizontal="right"/>
    </xf>
    <xf numFmtId="0" fontId="0" fillId="3" borderId="0" xfId="0" applyFill="1"/>
    <xf numFmtId="0" fontId="0" fillId="3" borderId="0" xfId="0" applyFill="1" applyAlignment="1">
      <alignment horizontal="left" indent="1"/>
    </xf>
    <xf numFmtId="0" fontId="0" fillId="3" borderId="0" xfId="0" applyFill="1" applyAlignment="1">
      <alignment horizontal="center"/>
    </xf>
    <xf numFmtId="0" fontId="0" fillId="5" borderId="0" xfId="0" applyFill="1"/>
    <xf numFmtId="0" fontId="0" fillId="5" borderId="0" xfId="0" applyFill="1" applyAlignment="1">
      <alignment horizontal="right"/>
    </xf>
    <xf numFmtId="0" fontId="0" fillId="5" borderId="0" xfId="0" applyFill="1" applyAlignment="1">
      <alignment horizontal="center"/>
    </xf>
    <xf numFmtId="0" fontId="0" fillId="6" borderId="0" xfId="0" applyFill="1"/>
    <xf numFmtId="0" fontId="0" fillId="6" borderId="0" xfId="0" applyFill="1" applyAlignment="1">
      <alignment horizontal="center"/>
    </xf>
    <xf numFmtId="0" fontId="0" fillId="6" borderId="0" xfId="0" applyFill="1" applyAlignment="1">
      <alignment horizontal="right"/>
    </xf>
    <xf numFmtId="0" fontId="0" fillId="0" borderId="1" xfId="0" applyBorder="1"/>
    <xf numFmtId="0" fontId="0" fillId="3" borderId="1" xfId="0" applyFill="1" applyBorder="1" applyAlignment="1">
      <alignment horizontal="left" indent="1"/>
    </xf>
    <xf numFmtId="14" fontId="0" fillId="0" borderId="1" xfId="0" applyNumberFormat="1" applyBorder="1"/>
    <xf numFmtId="0" fontId="0" fillId="0" borderId="1" xfId="0" applyBorder="1" applyAlignment="1">
      <alignment horizontal="right"/>
    </xf>
    <xf numFmtId="0" fontId="0" fillId="0" borderId="1" xfId="0" applyBorder="1" applyAlignment="1">
      <alignment horizontal="left" indent="1"/>
    </xf>
    <xf numFmtId="0" fontId="0" fillId="5" borderId="1" xfId="0" applyFill="1" applyBorder="1"/>
    <xf numFmtId="0" fontId="0" fillId="0" borderId="1" xfId="0" applyBorder="1" applyAlignment="1">
      <alignment horizontal="center"/>
    </xf>
    <xf numFmtId="0" fontId="0" fillId="0" borderId="1" xfId="0" applyBorder="1" applyAlignment="1">
      <alignment horizontal="left"/>
    </xf>
    <xf numFmtId="0" fontId="0" fillId="5" borderId="1" xfId="0" applyFill="1" applyBorder="1" applyAlignment="1">
      <alignment horizontal="right"/>
    </xf>
    <xf numFmtId="0" fontId="1" fillId="2" borderId="0" xfId="0" applyFont="1" applyFill="1"/>
    <xf numFmtId="0" fontId="3" fillId="0" borderId="0" xfId="0" applyFont="1"/>
    <xf numFmtId="0" fontId="3" fillId="4" borderId="0" xfId="0" applyFont="1" applyFill="1"/>
    <xf numFmtId="0" fontId="3" fillId="4" borderId="0" xfId="0" applyFont="1" applyFill="1" applyAlignment="1">
      <alignment horizontal="right"/>
    </xf>
    <xf numFmtId="0" fontId="3" fillId="0" borderId="0" xfId="0" applyFont="1" applyAlignment="1">
      <alignment horizontal="right"/>
    </xf>
    <xf numFmtId="0" fontId="4" fillId="0" borderId="0" xfId="0" applyFont="1"/>
    <xf numFmtId="0" fontId="5" fillId="0" borderId="0" xfId="0" applyFont="1"/>
    <xf numFmtId="0" fontId="6" fillId="0" borderId="0" xfId="0" applyFont="1"/>
    <xf numFmtId="0" fontId="5" fillId="0" borderId="0" xfId="0" applyFont="1" applyAlignment="1">
      <alignment horizontal="right"/>
    </xf>
    <xf numFmtId="0" fontId="0" fillId="0" borderId="0" xfId="0" applyAlignment="1">
      <alignment horizontal="left" indent="3"/>
    </xf>
    <xf numFmtId="14" fontId="1" fillId="2" borderId="0" xfId="0" applyNumberFormat="1" applyFont="1" applyFill="1"/>
    <xf numFmtId="14" fontId="0" fillId="0" borderId="0" xfId="0" applyNumberFormat="1" applyAlignment="1">
      <alignment horizontal="center"/>
    </xf>
    <xf numFmtId="14" fontId="0" fillId="0" borderId="0" xfId="0" applyNumberFormat="1" applyAlignment="1">
      <alignment horizontal="left"/>
    </xf>
    <xf numFmtId="0" fontId="0" fillId="6" borderId="0" xfId="0" applyFill="1" applyAlignment="1">
      <alignment horizontal="left" indent="2"/>
    </xf>
    <xf numFmtId="164" fontId="0" fillId="0" borderId="0" xfId="0" applyNumberFormat="1"/>
    <xf numFmtId="164" fontId="0" fillId="0" borderId="1" xfId="0" applyNumberFormat="1" applyBorder="1"/>
    <xf numFmtId="164" fontId="0" fillId="0" borderId="0" xfId="0" applyNumberFormat="1" applyAlignment="1">
      <alignment horizontal="left"/>
    </xf>
    <xf numFmtId="14" fontId="0" fillId="0" borderId="1" xfId="0" applyNumberFormat="1" applyBorder="1" applyAlignment="1">
      <alignment horizontal="left"/>
    </xf>
    <xf numFmtId="0" fontId="7" fillId="7" borderId="0" xfId="0" applyFont="1" applyFill="1" applyAlignment="1">
      <alignment horizontal="center"/>
    </xf>
    <xf numFmtId="0" fontId="8" fillId="0" borderId="0" xfId="0" applyFont="1" applyAlignment="1">
      <alignment horizontal="center"/>
    </xf>
    <xf numFmtId="165" fontId="7" fillId="7" borderId="0" xfId="0" applyNumberFormat="1" applyFont="1" applyFill="1" applyAlignment="1">
      <alignment horizontal="center"/>
    </xf>
    <xf numFmtId="165" fontId="8" fillId="0" borderId="0" xfId="0" applyNumberFormat="1" applyFont="1" applyAlignment="1">
      <alignment horizontal="center"/>
    </xf>
    <xf numFmtId="165" fontId="0" fillId="0" borderId="0" xfId="0" applyNumberFormat="1"/>
    <xf numFmtId="164" fontId="7" fillId="7" borderId="0" xfId="0" applyNumberFormat="1" applyFont="1" applyFill="1" applyAlignment="1">
      <alignment horizontal="center"/>
    </xf>
    <xf numFmtId="164" fontId="8" fillId="0" borderId="0" xfId="0" applyNumberFormat="1" applyFont="1" applyAlignment="1">
      <alignment horizontal="center"/>
    </xf>
    <xf numFmtId="0" fontId="0" fillId="0" borderId="0" xfId="0" pivotButton="1"/>
    <xf numFmtId="9" fontId="0" fillId="0" borderId="0" xfId="1" applyFont="1"/>
    <xf numFmtId="0" fontId="10" fillId="0" borderId="0" xfId="0" applyFont="1"/>
    <xf numFmtId="9" fontId="10" fillId="0" borderId="0" xfId="1" applyFont="1" applyBorder="1"/>
    <xf numFmtId="165" fontId="10" fillId="0" borderId="0" xfId="0" applyNumberFormat="1" applyFont="1"/>
    <xf numFmtId="0" fontId="11" fillId="0" borderId="0" xfId="0" applyFont="1" applyAlignment="1">
      <alignment horizontal="center" vertical="center" readingOrder="1"/>
    </xf>
    <xf numFmtId="0" fontId="12" fillId="0" borderId="0" xfId="0" applyFont="1" applyAlignment="1">
      <alignment horizontal="center" vertical="center"/>
    </xf>
    <xf numFmtId="166" fontId="10" fillId="8" borderId="0" xfId="0" applyNumberFormat="1" applyFont="1" applyFill="1" applyAlignment="1">
      <alignment horizontal="center"/>
    </xf>
    <xf numFmtId="165" fontId="10" fillId="8" borderId="0" xfId="0" applyNumberFormat="1" applyFont="1" applyFill="1" applyAlignment="1">
      <alignment horizontal="center"/>
    </xf>
    <xf numFmtId="1" fontId="10" fillId="8" borderId="0" xfId="0" applyNumberFormat="1" applyFont="1" applyFill="1" applyAlignment="1">
      <alignment horizontal="center"/>
    </xf>
    <xf numFmtId="9" fontId="10" fillId="8" borderId="0" xfId="1" applyFont="1" applyFill="1" applyAlignment="1">
      <alignment horizontal="center"/>
    </xf>
    <xf numFmtId="9" fontId="10" fillId="8" borderId="0" xfId="0" applyNumberFormat="1" applyFont="1" applyFill="1" applyAlignment="1">
      <alignment horizontal="center"/>
    </xf>
    <xf numFmtId="0" fontId="0" fillId="9" borderId="0" xfId="0" applyFill="1"/>
    <xf numFmtId="0" fontId="0" fillId="0" borderId="0" xfId="0" applyNumberFormat="1"/>
  </cellXfs>
  <cellStyles count="2">
    <cellStyle name="Normal" xfId="0" builtinId="0"/>
    <cellStyle name="Percent" xfId="1" builtinId="5"/>
  </cellStyles>
  <dxfs count="12">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64" formatCode="[$-F800]dddd\,\ mmmm\ dd\,\ yyyy"/>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0"/>
        <name val="Times New Roman"/>
        <family val="1"/>
        <scheme val="none"/>
      </font>
      <fill>
        <patternFill patternType="solid">
          <fgColor indexed="64"/>
          <bgColor rgb="FF00B050"/>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over Month-Year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Sales!$A$4:$A$9</c:f>
              <c:multiLvlStrCache>
                <c:ptCount val="4"/>
                <c:lvl>
                  <c:pt idx="0">
                    <c:v>8</c:v>
                  </c:pt>
                  <c:pt idx="1">
                    <c:v>9</c:v>
                  </c:pt>
                  <c:pt idx="2">
                    <c:v>10</c:v>
                  </c:pt>
                  <c:pt idx="3">
                    <c:v>11</c:v>
                  </c:pt>
                </c:lvl>
                <c:lvl>
                  <c:pt idx="0">
                    <c:v>2014</c:v>
                  </c:pt>
                </c:lvl>
              </c:multiLvlStrCache>
            </c:multiLvlStrRef>
          </c:cat>
          <c:val>
            <c:numRef>
              <c:f>Sales!$B$4:$B$9</c:f>
              <c:numCache>
                <c:formatCode>"₹"\ #,##0</c:formatCode>
                <c:ptCount val="4"/>
                <c:pt idx="0">
                  <c:v>1320.34</c:v>
                </c:pt>
                <c:pt idx="1">
                  <c:v>2232.84</c:v>
                </c:pt>
                <c:pt idx="2">
                  <c:v>510.37</c:v>
                </c:pt>
                <c:pt idx="3">
                  <c:v>597.97</c:v>
                </c:pt>
              </c:numCache>
            </c:numRef>
          </c:val>
          <c:smooth val="0"/>
          <c:extLst>
            <c:ext xmlns:c16="http://schemas.microsoft.com/office/drawing/2014/chart" uri="{C3380CC4-5D6E-409C-BE32-E72D297353CC}">
              <c16:uniqueId val="{00000000-667A-4E8D-ADB9-A1D7D142F882}"/>
            </c:ext>
          </c:extLst>
        </c:ser>
        <c:dLbls>
          <c:dLblPos val="ctr"/>
          <c:showLegendKey val="0"/>
          <c:showVal val="1"/>
          <c:showCatName val="0"/>
          <c:showSerName val="0"/>
          <c:showPercent val="0"/>
          <c:showBubbleSize val="0"/>
        </c:dLbls>
        <c:marker val="1"/>
        <c:smooth val="0"/>
        <c:axId val="480917536"/>
        <c:axId val="480919456"/>
      </c:lineChart>
      <c:catAx>
        <c:axId val="48091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919456"/>
        <c:crosses val="autoZero"/>
        <c:auto val="1"/>
        <c:lblAlgn val="ctr"/>
        <c:lblOffset val="100"/>
        <c:noMultiLvlLbl val="0"/>
      </c:catAx>
      <c:valAx>
        <c:axId val="4809194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91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[sales_dashboard.xlsx]Orders!PivotTable6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 over Month-Year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Orders!$A$4:$A$9</c:f>
              <c:multiLvlStrCache>
                <c:ptCount val="4"/>
                <c:lvl>
                  <c:pt idx="0">
                    <c:v>8</c:v>
                  </c:pt>
                  <c:pt idx="1">
                    <c:v>9</c:v>
                  </c:pt>
                  <c:pt idx="2">
                    <c:v>10</c:v>
                  </c:pt>
                  <c:pt idx="3">
                    <c:v>11</c:v>
                  </c:pt>
                </c:lvl>
                <c:lvl>
                  <c:pt idx="0">
                    <c:v>2014</c:v>
                  </c:pt>
                </c:lvl>
              </c:multiLvlStrCache>
            </c:multiLvlStrRef>
          </c:cat>
          <c:val>
            <c:numRef>
              <c:f>Orders!$B$4:$B$9</c:f>
              <c:numCache>
                <c:formatCode>General</c:formatCode>
                <c:ptCount val="4"/>
                <c:pt idx="0">
                  <c:v>1</c:v>
                </c:pt>
                <c:pt idx="1">
                  <c:v>3</c:v>
                </c:pt>
                <c:pt idx="2">
                  <c:v>1</c:v>
                </c:pt>
                <c:pt idx="3">
                  <c:v>2</c:v>
                </c:pt>
              </c:numCache>
            </c:numRef>
          </c:val>
          <c:smooth val="0"/>
          <c:extLst>
            <c:ext xmlns:c16="http://schemas.microsoft.com/office/drawing/2014/chart" uri="{C3380CC4-5D6E-409C-BE32-E72D297353CC}">
              <c16:uniqueId val="{00000000-2BE8-4DC9-B016-E19E62C3B82B}"/>
            </c:ext>
          </c:extLst>
        </c:ser>
        <c:dLbls>
          <c:showLegendKey val="0"/>
          <c:showVal val="1"/>
          <c:showCatName val="0"/>
          <c:showSerName val="0"/>
          <c:showPercent val="0"/>
          <c:showBubbleSize val="0"/>
        </c:dLbls>
        <c:smooth val="0"/>
        <c:axId val="520888272"/>
        <c:axId val="520889232"/>
      </c:lineChart>
      <c:catAx>
        <c:axId val="52088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889232"/>
        <c:crosses val="autoZero"/>
        <c:auto val="1"/>
        <c:lblAlgn val="ctr"/>
        <c:lblOffset val="100"/>
        <c:noMultiLvlLbl val="0"/>
      </c:catAx>
      <c:valAx>
        <c:axId val="520889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88827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[sales_dashboard.xlsx]Payment Status!PivotTable9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Status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21835920201332859"/>
          <c:y val="0.17192643103234925"/>
          <c:w val="0.57183257185444414"/>
          <c:h val="0.68960454074754307"/>
        </c:manualLayout>
      </c:layout>
      <c:pieChart>
        <c:varyColors val="1"/>
        <c:ser>
          <c:idx val="0"/>
          <c:order val="0"/>
          <c:tx>
            <c:strRef>
              <c:f>'Payment Status'!$B$3</c:f>
              <c:strCache>
                <c:ptCount val="1"/>
                <c:pt idx="0">
                  <c:v>Sum of Amount Paid</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FA1B-4C0F-B311-602F1879B527}"/>
              </c:ext>
            </c:extLst>
          </c:dPt>
          <c:dPt>
            <c:idx val="1"/>
            <c:bubble3D val="0"/>
            <c:spPr>
              <a:solidFill>
                <a:schemeClr val="accent2"/>
              </a:solidFill>
              <a:ln w="19050">
                <a:noFill/>
              </a:ln>
              <a:effectLst/>
            </c:spPr>
            <c:extLst>
              <c:ext xmlns:c16="http://schemas.microsoft.com/office/drawing/2014/chart" uri="{C3380CC4-5D6E-409C-BE32-E72D297353CC}">
                <c16:uniqueId val="{00000003-FA1B-4C0F-B311-602F1879B527}"/>
              </c:ext>
            </c:extLst>
          </c:dPt>
          <c:dPt>
            <c:idx val="2"/>
            <c:bubble3D val="0"/>
            <c:spPr>
              <a:solidFill>
                <a:schemeClr val="accent3"/>
              </a:solidFill>
              <a:ln w="19050">
                <a:noFill/>
              </a:ln>
              <a:effectLst/>
            </c:spPr>
            <c:extLst>
              <c:ext xmlns:c16="http://schemas.microsoft.com/office/drawing/2014/chart" uri="{C3380CC4-5D6E-409C-BE32-E72D297353CC}">
                <c16:uniqueId val="{00000005-FA1B-4C0F-B311-602F1879B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'Payment Status'!$A$4:$A$6</c:f>
              <c:strCache>
                <c:ptCount val="2"/>
                <c:pt idx="0">
                  <c:v>Paid</c:v>
                </c:pt>
                <c:pt idx="1">
                  <c:v>Pending</c:v>
                </c:pt>
              </c:strCache>
            </c:strRef>
          </c:cat>
          <c:val>
            <c:numRef>
              <c:f>'Payment Status'!$B$4:$B$6</c:f>
              <c:numCache>
                <c:formatCode>"₹"\ #,##0</c:formatCode>
                <c:ptCount val="2"/>
                <c:pt idx="0">
                  <c:v>1918.31</c:v>
                </c:pt>
                <c:pt idx="1">
                  <c:v>2743.21</c:v>
                </c:pt>
              </c:numCache>
            </c:numRef>
          </c:val>
          <c:extLst>
            <c:ext xmlns:c16="http://schemas.microsoft.com/office/drawing/2014/chart" uri="{C3380CC4-5D6E-409C-BE32-E72D297353CC}">
              <c16:uniqueId val="{00000000-835E-4BF6-96A2-134C7507102C}"/>
            </c:ext>
          </c:extLst>
        </c:ser>
        <c:ser>
          <c:idx val="1"/>
          <c:order val="1"/>
          <c:tx>
            <c:strRef>
              <c:f>'Payment Status'!$C$3</c:f>
              <c:strCache>
                <c:ptCount val="1"/>
                <c:pt idx="0">
                  <c:v>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FA1B-4C0F-B311-602F1879B5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FA1B-4C0F-B311-602F1879B5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FA1B-4C0F-B311-602F1879B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Status'!$A$4:$A$6</c:f>
              <c:strCache>
                <c:ptCount val="2"/>
                <c:pt idx="0">
                  <c:v>Paid</c:v>
                </c:pt>
                <c:pt idx="1">
                  <c:v>Pending</c:v>
                </c:pt>
              </c:strCache>
            </c:strRef>
          </c:cat>
          <c:val>
            <c:numRef>
              <c:f>'Payment Status'!$C$4:$C$6</c:f>
              <c:numCache>
                <c:formatCode>General</c:formatCode>
                <c:ptCount val="2"/>
                <c:pt idx="0">
                  <c:v>3</c:v>
                </c:pt>
                <c:pt idx="1">
                  <c:v>4</c:v>
                </c:pt>
              </c:numCache>
            </c:numRef>
          </c:val>
          <c:extLst>
            <c:ext xmlns:c16="http://schemas.microsoft.com/office/drawing/2014/chart" uri="{C3380CC4-5D6E-409C-BE32-E72D297353CC}">
              <c16:uniqueId val="{00000001-835E-4BF6-96A2-134C7507102C}"/>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2336552066794122"/>
          <c:y val="0.13495568016777057"/>
          <c:w val="0.15605834764481599"/>
          <c:h val="0.20936871104511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[sales_dashboard.xlsx]Delivary Status!PivotTable10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Delivery Status Distribution</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'Delivary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AA-454E-8392-B863E336F5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AA-454E-8392-B863E336F5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AA-454E-8392-B863E336F5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'Delivary Status'!$A$4:$A$7</c:f>
              <c:strCache>
                <c:ptCount val="3"/>
                <c:pt idx="0">
                  <c:v>Cancelled</c:v>
                </c:pt>
                <c:pt idx="1">
                  <c:v>Delivered</c:v>
                </c:pt>
                <c:pt idx="2">
                  <c:v>InTransit</c:v>
                </c:pt>
              </c:strCache>
            </c:strRef>
          </c:cat>
          <c:val>
            <c:numRef>
              <c:f>'Delivary Status'!$B$4:$B$7</c:f>
              <c:numCache>
                <c:formatCode>General</c:formatCode>
                <c:ptCount val="3"/>
                <c:pt idx="0">
                  <c:v>2</c:v>
                </c:pt>
                <c:pt idx="1">
                  <c:v>3</c:v>
                </c:pt>
                <c:pt idx="2">
                  <c:v>2</c:v>
                </c:pt>
              </c:numCache>
            </c:numRef>
          </c:val>
          <c:extLst>
            <c:ext xmlns:c16="http://schemas.microsoft.com/office/drawing/2014/chart" uri="{C3380CC4-5D6E-409C-BE32-E72D297353CC}">
              <c16:uniqueId val="{00000000-DCB0-4E1E-9D0E-36672B4B681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346762904636932"/>
          <c:y val="0.20709390492855059"/>
          <c:w val="0.14264348206474189"/>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[sales_dashboard.xlsx]Product Analysis!PivotTable12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Analysis'!$B$3</c:f>
              <c:strCache>
                <c:ptCount val="1"/>
                <c:pt idx="0">
                  <c:v>Count of order I'D</c:v>
                </c:pt>
              </c:strCache>
            </c:strRef>
          </c:tx>
          <c:spPr>
            <a:solidFill>
              <a:schemeClr val="accent1"/>
            </a:solidFill>
            <a:ln>
              <a:noFill/>
            </a:ln>
            <a:effectLst/>
          </c:spPr>
          <c:invertIfNegative val="0"/>
          <c:cat>
            <c:strRef>
              <c:f>'Product Analysis'!$A$4:$A$9</c:f>
              <c:strCache>
                <c:ptCount val="5"/>
                <c:pt idx="0">
                  <c:v>Laptop</c:v>
                </c:pt>
                <c:pt idx="1">
                  <c:v>Monitor</c:v>
                </c:pt>
                <c:pt idx="2">
                  <c:v>Mouse</c:v>
                </c:pt>
                <c:pt idx="3">
                  <c:v>Smartwatch</c:v>
                </c:pt>
                <c:pt idx="4">
                  <c:v>Tablet</c:v>
                </c:pt>
              </c:strCache>
            </c:strRef>
          </c:cat>
          <c:val>
            <c:numRef>
              <c:f>'Product Analysis'!$B$4:$B$9</c:f>
              <c:numCache>
                <c:formatCode>General</c:formatCode>
                <c:ptCount val="5"/>
                <c:pt idx="0">
                  <c:v>1</c:v>
                </c:pt>
                <c:pt idx="1">
                  <c:v>1</c:v>
                </c:pt>
                <c:pt idx="2">
                  <c:v>1</c:v>
                </c:pt>
                <c:pt idx="3">
                  <c:v>1</c:v>
                </c:pt>
                <c:pt idx="4">
                  <c:v>3</c:v>
                </c:pt>
              </c:numCache>
            </c:numRef>
          </c:val>
          <c:extLst>
            <c:ext xmlns:c16="http://schemas.microsoft.com/office/drawing/2014/chart" uri="{C3380CC4-5D6E-409C-BE32-E72D297353CC}">
              <c16:uniqueId val="{00000000-B2DB-473D-87CB-03AF20CB08EE}"/>
            </c:ext>
          </c:extLst>
        </c:ser>
        <c:dLbls>
          <c:showLegendKey val="0"/>
          <c:showVal val="0"/>
          <c:showCatName val="0"/>
          <c:showSerName val="0"/>
          <c:showPercent val="0"/>
          <c:showBubbleSize val="0"/>
        </c:dLbls>
        <c:gapWidth val="219"/>
        <c:overlap val="-27"/>
        <c:axId val="559223728"/>
        <c:axId val="559218448"/>
      </c:barChart>
      <c:lineChart>
        <c:grouping val="standard"/>
        <c:varyColors val="0"/>
        <c:ser>
          <c:idx val="1"/>
          <c:order val="1"/>
          <c:tx>
            <c:strRef>
              <c:f>'Product Analysis'!$C$3</c:f>
              <c:strCache>
                <c:ptCount val="1"/>
                <c:pt idx="0">
                  <c:v>Sum of Amount Paid</c:v>
                </c:pt>
              </c:strCache>
            </c:strRef>
          </c:tx>
          <c:spPr>
            <a:ln w="28575" cap="rnd">
              <a:solidFill>
                <a:schemeClr val="accent2"/>
              </a:solidFill>
              <a:round/>
            </a:ln>
            <a:effectLst/>
          </c:spPr>
          <c:marker>
            <c:symbol val="none"/>
          </c:marker>
          <c:cat>
            <c:strRef>
              <c:f>'Product Analysis'!$A$4:$A$9</c:f>
              <c:strCache>
                <c:ptCount val="5"/>
                <c:pt idx="0">
                  <c:v>Laptop</c:v>
                </c:pt>
                <c:pt idx="1">
                  <c:v>Monitor</c:v>
                </c:pt>
                <c:pt idx="2">
                  <c:v>Mouse</c:v>
                </c:pt>
                <c:pt idx="3">
                  <c:v>Smartwatch</c:v>
                </c:pt>
                <c:pt idx="4">
                  <c:v>Tablet</c:v>
                </c:pt>
              </c:strCache>
            </c:strRef>
          </c:cat>
          <c:val>
            <c:numRef>
              <c:f>'Product Analysis'!$C$4:$C$9</c:f>
              <c:numCache>
                <c:formatCode>"₹"\ #,##0</c:formatCode>
                <c:ptCount val="5"/>
                <c:pt idx="0">
                  <c:v>738.76</c:v>
                </c:pt>
                <c:pt idx="1">
                  <c:v>668.37</c:v>
                </c:pt>
                <c:pt idx="2">
                  <c:v>1320.34</c:v>
                </c:pt>
                <c:pt idx="3">
                  <c:v>76.31</c:v>
                </c:pt>
                <c:pt idx="4">
                  <c:v>1857.7399999999998</c:v>
                </c:pt>
              </c:numCache>
            </c:numRef>
          </c:val>
          <c:smooth val="0"/>
          <c:extLst>
            <c:ext xmlns:c16="http://schemas.microsoft.com/office/drawing/2014/chart" uri="{C3380CC4-5D6E-409C-BE32-E72D297353CC}">
              <c16:uniqueId val="{00000001-B2DB-473D-87CB-03AF20CB08EE}"/>
            </c:ext>
          </c:extLst>
        </c:ser>
        <c:dLbls>
          <c:showLegendKey val="0"/>
          <c:showVal val="0"/>
          <c:showCatName val="0"/>
          <c:showSerName val="0"/>
          <c:showPercent val="0"/>
          <c:showBubbleSize val="0"/>
        </c:dLbls>
        <c:marker val="1"/>
        <c:smooth val="0"/>
        <c:axId val="559217488"/>
        <c:axId val="559221808"/>
      </c:lineChart>
      <c:catAx>
        <c:axId val="55922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218448"/>
        <c:crosses val="autoZero"/>
        <c:auto val="1"/>
        <c:lblAlgn val="ctr"/>
        <c:lblOffset val="100"/>
        <c:noMultiLvlLbl val="0"/>
      </c:catAx>
      <c:valAx>
        <c:axId val="55921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223728"/>
        <c:crosses val="autoZero"/>
        <c:crossBetween val="between"/>
      </c:valAx>
      <c:valAx>
        <c:axId val="559221808"/>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217488"/>
        <c:crosses val="max"/>
        <c:crossBetween val="between"/>
      </c:valAx>
      <c:catAx>
        <c:axId val="559217488"/>
        <c:scaling>
          <c:orientation val="minMax"/>
        </c:scaling>
        <c:delete val="1"/>
        <c:axPos val="b"/>
        <c:numFmt formatCode="General" sourceLinked="1"/>
        <c:majorTickMark val="out"/>
        <c:minorTickMark val="none"/>
        <c:tickLblPos val="nextTo"/>
        <c:crossAx val="5592218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[sales_dashboard.xlsx]City Analsys!PivotTable13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Analsys'!$B$3</c:f>
              <c:strCache>
                <c:ptCount val="1"/>
                <c:pt idx="0">
                  <c:v>Count of order I'D</c:v>
                </c:pt>
              </c:strCache>
            </c:strRef>
          </c:tx>
          <c:spPr>
            <a:solidFill>
              <a:schemeClr val="accent1"/>
            </a:solidFill>
            <a:ln>
              <a:noFill/>
            </a:ln>
            <a:effectLst/>
          </c:spPr>
          <c:invertIfNegative val="0"/>
          <c:cat>
            <c:strRef>
              <c:f>'City Analsys'!$A$4:$A$10</c:f>
              <c:strCache>
                <c:ptCount val="6"/>
                <c:pt idx="0">
                  <c:v>Ahmedabad</c:v>
                </c:pt>
                <c:pt idx="1">
                  <c:v>Bangalore</c:v>
                </c:pt>
                <c:pt idx="2">
                  <c:v>Chennai</c:v>
                </c:pt>
                <c:pt idx="3">
                  <c:v>Hyderabad</c:v>
                </c:pt>
                <c:pt idx="4">
                  <c:v>Mumbai</c:v>
                </c:pt>
                <c:pt idx="5">
                  <c:v>Pune</c:v>
                </c:pt>
              </c:strCache>
            </c:strRef>
          </c:cat>
          <c:val>
            <c:numRef>
              <c:f>'City Analsys'!$B$4:$B$10</c:f>
              <c:numCache>
                <c:formatCode>General</c:formatCode>
                <c:ptCount val="6"/>
                <c:pt idx="0">
                  <c:v>1</c:v>
                </c:pt>
                <c:pt idx="1">
                  <c:v>1</c:v>
                </c:pt>
                <c:pt idx="2">
                  <c:v>1</c:v>
                </c:pt>
                <c:pt idx="3">
                  <c:v>1</c:v>
                </c:pt>
                <c:pt idx="4">
                  <c:v>2</c:v>
                </c:pt>
                <c:pt idx="5">
                  <c:v>1</c:v>
                </c:pt>
              </c:numCache>
            </c:numRef>
          </c:val>
          <c:extLst>
            <c:ext xmlns:c16="http://schemas.microsoft.com/office/drawing/2014/chart" uri="{C3380CC4-5D6E-409C-BE32-E72D297353CC}">
              <c16:uniqueId val="{00000000-38FC-44B9-BD09-F82E1748BBA9}"/>
            </c:ext>
          </c:extLst>
        </c:ser>
        <c:dLbls>
          <c:showLegendKey val="0"/>
          <c:showVal val="0"/>
          <c:showCatName val="0"/>
          <c:showSerName val="0"/>
          <c:showPercent val="0"/>
          <c:showBubbleSize val="0"/>
        </c:dLbls>
        <c:gapWidth val="219"/>
        <c:overlap val="-27"/>
        <c:axId val="1660276047"/>
        <c:axId val="1660276527"/>
      </c:barChart>
      <c:lineChart>
        <c:grouping val="standard"/>
        <c:varyColors val="0"/>
        <c:ser>
          <c:idx val="1"/>
          <c:order val="1"/>
          <c:tx>
            <c:strRef>
              <c:f>'City Analsys'!$C$3</c:f>
              <c:strCache>
                <c:ptCount val="1"/>
                <c:pt idx="0">
                  <c:v>Sum of Amount Paid</c:v>
                </c:pt>
              </c:strCache>
            </c:strRef>
          </c:tx>
          <c:spPr>
            <a:ln w="28575" cap="rnd">
              <a:solidFill>
                <a:schemeClr val="accent2"/>
              </a:solidFill>
              <a:round/>
            </a:ln>
            <a:effectLst/>
          </c:spPr>
          <c:marker>
            <c:symbol val="none"/>
          </c:marker>
          <c:cat>
            <c:strRef>
              <c:f>'City Analsys'!$A$4:$A$10</c:f>
              <c:strCache>
                <c:ptCount val="6"/>
                <c:pt idx="0">
                  <c:v>Ahmedabad</c:v>
                </c:pt>
                <c:pt idx="1">
                  <c:v>Bangalore</c:v>
                </c:pt>
                <c:pt idx="2">
                  <c:v>Chennai</c:v>
                </c:pt>
                <c:pt idx="3">
                  <c:v>Hyderabad</c:v>
                </c:pt>
                <c:pt idx="4">
                  <c:v>Mumbai</c:v>
                </c:pt>
                <c:pt idx="5">
                  <c:v>Pune</c:v>
                </c:pt>
              </c:strCache>
            </c:strRef>
          </c:cat>
          <c:val>
            <c:numRef>
              <c:f>'City Analsys'!$C$4:$C$10</c:f>
              <c:numCache>
                <c:formatCode>"₹"\ #,##0</c:formatCode>
                <c:ptCount val="6"/>
                <c:pt idx="0">
                  <c:v>76.31</c:v>
                </c:pt>
                <c:pt idx="1">
                  <c:v>825.71</c:v>
                </c:pt>
                <c:pt idx="2">
                  <c:v>510.37</c:v>
                </c:pt>
                <c:pt idx="3">
                  <c:v>521.66</c:v>
                </c:pt>
                <c:pt idx="4">
                  <c:v>1988.71</c:v>
                </c:pt>
                <c:pt idx="5">
                  <c:v>738.76</c:v>
                </c:pt>
              </c:numCache>
            </c:numRef>
          </c:val>
          <c:smooth val="0"/>
          <c:extLst>
            <c:ext xmlns:c16="http://schemas.microsoft.com/office/drawing/2014/chart" uri="{C3380CC4-5D6E-409C-BE32-E72D297353CC}">
              <c16:uniqueId val="{00000001-38FC-44B9-BD09-F82E1748BBA9}"/>
            </c:ext>
          </c:extLst>
        </c:ser>
        <c:dLbls>
          <c:showLegendKey val="0"/>
          <c:showVal val="0"/>
          <c:showCatName val="0"/>
          <c:showSerName val="0"/>
          <c:showPercent val="0"/>
          <c:showBubbleSize val="0"/>
        </c:dLbls>
        <c:marker val="1"/>
        <c:smooth val="0"/>
        <c:axId val="1659935983"/>
        <c:axId val="1659938863"/>
      </c:lineChart>
      <c:catAx>
        <c:axId val="166027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276527"/>
        <c:crosses val="autoZero"/>
        <c:auto val="1"/>
        <c:lblAlgn val="ctr"/>
        <c:lblOffset val="100"/>
        <c:noMultiLvlLbl val="0"/>
      </c:catAx>
      <c:valAx>
        <c:axId val="166027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276047"/>
        <c:crosses val="autoZero"/>
        <c:crossBetween val="between"/>
      </c:valAx>
      <c:valAx>
        <c:axId val="1659938863"/>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35983"/>
        <c:crosses val="max"/>
        <c:crossBetween val="between"/>
      </c:valAx>
      <c:catAx>
        <c:axId val="1659935983"/>
        <c:scaling>
          <c:orientation val="minMax"/>
        </c:scaling>
        <c:delete val="1"/>
        <c:axPos val="b"/>
        <c:numFmt formatCode="General" sourceLinked="1"/>
        <c:majorTickMark val="out"/>
        <c:minorTickMark val="none"/>
        <c:tickLblPos val="nextTo"/>
        <c:crossAx val="16599388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[sales_dashboard.xlsx]Sales!PivotTable5</c:name>
    <c:fmtId val="7"/>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IN"/>
              <a:t>Revenue over Month-Year</a:t>
            </a:r>
            <a:r>
              <a:rPr lang="en-IN" baseline="0"/>
              <a:t> </a:t>
            </a:r>
            <a:r>
              <a:rPr lang="en-IN" sz="1400" b="0" i="0" u="none" strike="noStrike" baseline="0">
                <a:effectLst/>
              </a:rPr>
              <a:t> </a:t>
            </a:r>
            <a:r>
              <a:rPr lang="en-IN"/>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Sales!$B$3</c:f>
              <c:strCache>
                <c:ptCount val="1"/>
                <c:pt idx="0">
                  <c:v>Total</c:v>
                </c:pt>
              </c:strCache>
            </c:strRef>
          </c:tx>
          <c:spPr>
            <a:ln w="28575" cap="rnd">
              <a:solidFill>
                <a:schemeClr val="accent1"/>
              </a:solidFill>
              <a:round/>
            </a:ln>
            <a:effectLst/>
          </c:spPr>
          <c:marker>
            <c:symbol val="none"/>
          </c:marker>
          <c:cat>
            <c:multiLvlStrRef>
              <c:f>Sales!$A$4:$A$9</c:f>
              <c:multiLvlStrCache>
                <c:ptCount val="4"/>
                <c:lvl>
                  <c:pt idx="0">
                    <c:v>8</c:v>
                  </c:pt>
                  <c:pt idx="1">
                    <c:v>9</c:v>
                  </c:pt>
                  <c:pt idx="2">
                    <c:v>10</c:v>
                  </c:pt>
                  <c:pt idx="3">
                    <c:v>11</c:v>
                  </c:pt>
                </c:lvl>
                <c:lvl>
                  <c:pt idx="0">
                    <c:v>2014</c:v>
                  </c:pt>
                </c:lvl>
              </c:multiLvlStrCache>
            </c:multiLvlStrRef>
          </c:cat>
          <c:val>
            <c:numRef>
              <c:f>Sales!$B$4:$B$9</c:f>
              <c:numCache>
                <c:formatCode>"₹"\ #,##0</c:formatCode>
                <c:ptCount val="4"/>
                <c:pt idx="0">
                  <c:v>1320.34</c:v>
                </c:pt>
                <c:pt idx="1">
                  <c:v>2232.84</c:v>
                </c:pt>
                <c:pt idx="2">
                  <c:v>510.37</c:v>
                </c:pt>
                <c:pt idx="3">
                  <c:v>597.97</c:v>
                </c:pt>
              </c:numCache>
            </c:numRef>
          </c:val>
          <c:smooth val="0"/>
          <c:extLst>
            <c:ext xmlns:c16="http://schemas.microsoft.com/office/drawing/2014/chart" uri="{C3380CC4-5D6E-409C-BE32-E72D297353CC}">
              <c16:uniqueId val="{00000000-2E17-434C-85F7-97213DBA0934}"/>
            </c:ext>
          </c:extLst>
        </c:ser>
        <c:dLbls>
          <c:showLegendKey val="0"/>
          <c:showVal val="0"/>
          <c:showCatName val="0"/>
          <c:showSerName val="0"/>
          <c:showPercent val="0"/>
          <c:showBubbleSize val="0"/>
        </c:dLbls>
        <c:smooth val="0"/>
        <c:axId val="480917536"/>
        <c:axId val="480919456"/>
      </c:lineChart>
      <c:catAx>
        <c:axId val="48091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480919456"/>
        <c:crosses val="autoZero"/>
        <c:auto val="1"/>
        <c:lblAlgn val="ctr"/>
        <c:lblOffset val="100"/>
        <c:noMultiLvlLbl val="0"/>
      </c:catAx>
      <c:valAx>
        <c:axId val="480919456"/>
        <c:scaling>
          <c:orientation val="minMax"/>
        </c:scaling>
        <c:delete val="0"/>
        <c:axPos val="l"/>
        <c:majorGridlines>
          <c:spPr>
            <a:ln w="9525" cap="flat" cmpd="sng" algn="ctr">
              <a:no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4809175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[sales_dashboard.xlsx]Orders!PivotTable6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 over Month-Year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Orders!$A$4:$A$9</c:f>
              <c:multiLvlStrCache>
                <c:ptCount val="4"/>
                <c:lvl>
                  <c:pt idx="0">
                    <c:v>8</c:v>
                  </c:pt>
                  <c:pt idx="1">
                    <c:v>9</c:v>
                  </c:pt>
                  <c:pt idx="2">
                    <c:v>10</c:v>
                  </c:pt>
                  <c:pt idx="3">
                    <c:v>11</c:v>
                  </c:pt>
                </c:lvl>
                <c:lvl>
                  <c:pt idx="0">
                    <c:v>2014</c:v>
                  </c:pt>
                </c:lvl>
              </c:multiLvlStrCache>
            </c:multiLvlStrRef>
          </c:cat>
          <c:val>
            <c:numRef>
              <c:f>Orders!$B$4:$B$9</c:f>
              <c:numCache>
                <c:formatCode>General</c:formatCode>
                <c:ptCount val="4"/>
                <c:pt idx="0">
                  <c:v>1</c:v>
                </c:pt>
                <c:pt idx="1">
                  <c:v>3</c:v>
                </c:pt>
                <c:pt idx="2">
                  <c:v>1</c:v>
                </c:pt>
                <c:pt idx="3">
                  <c:v>2</c:v>
                </c:pt>
              </c:numCache>
            </c:numRef>
          </c:val>
          <c:smooth val="0"/>
          <c:extLst>
            <c:ext xmlns:c16="http://schemas.microsoft.com/office/drawing/2014/chart" uri="{C3380CC4-5D6E-409C-BE32-E72D297353CC}">
              <c16:uniqueId val="{00000000-8E5B-46BC-A0AF-890D07AC48E9}"/>
            </c:ext>
          </c:extLst>
        </c:ser>
        <c:dLbls>
          <c:showLegendKey val="0"/>
          <c:showVal val="1"/>
          <c:showCatName val="0"/>
          <c:showSerName val="0"/>
          <c:showPercent val="0"/>
          <c:showBubbleSize val="0"/>
        </c:dLbls>
        <c:smooth val="0"/>
        <c:axId val="520888272"/>
        <c:axId val="520889232"/>
      </c:lineChart>
      <c:catAx>
        <c:axId val="52088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889232"/>
        <c:crosses val="autoZero"/>
        <c:auto val="1"/>
        <c:lblAlgn val="ctr"/>
        <c:lblOffset val="100"/>
        <c:noMultiLvlLbl val="0"/>
      </c:catAx>
      <c:valAx>
        <c:axId val="520889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8882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[sales_dashboard.xlsx]Payment Status!PivotTable9</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Payment Status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1835920201332859"/>
          <c:y val="0.17192643103234925"/>
          <c:w val="0.57183257185444414"/>
          <c:h val="0.68960454074754307"/>
        </c:manualLayout>
      </c:layout>
      <c:pieChart>
        <c:varyColors val="1"/>
        <c:ser>
          <c:idx val="0"/>
          <c:order val="0"/>
          <c:tx>
            <c:strRef>
              <c:f>'Payment Status'!$B$3</c:f>
              <c:strCache>
                <c:ptCount val="1"/>
                <c:pt idx="0">
                  <c:v>Sum of Amount Paid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DC4-43BF-8D8D-2D546ED884D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DC4-43BF-8D8D-2D546ED884D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DC4-43BF-8D8D-2D546ED884D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'Payment Status'!$A$4:$A$6</c:f>
              <c:strCache>
                <c:ptCount val="2"/>
                <c:pt idx="0">
                  <c:v>Paid</c:v>
                </c:pt>
                <c:pt idx="1">
                  <c:v>Pending</c:v>
                </c:pt>
              </c:strCache>
            </c:strRef>
          </c:cat>
          <c:val>
            <c:numRef>
              <c:f>'Payment Status'!$B$4:$B$6</c:f>
              <c:numCache>
                <c:formatCode>"₹"\ #,##0</c:formatCode>
                <c:ptCount val="2"/>
                <c:pt idx="0">
                  <c:v>1918.31</c:v>
                </c:pt>
                <c:pt idx="1">
                  <c:v>2743.21</c:v>
                </c:pt>
              </c:numCache>
            </c:numRef>
          </c:val>
          <c:extLst>
            <c:ext xmlns:c16="http://schemas.microsoft.com/office/drawing/2014/chart" uri="{C3380CC4-5D6E-409C-BE32-E72D297353CC}">
              <c16:uniqueId val="{00000006-DDC4-43BF-8D8D-2D546ED884D2}"/>
            </c:ext>
          </c:extLst>
        </c:ser>
        <c:ser>
          <c:idx val="1"/>
          <c:order val="1"/>
          <c:tx>
            <c:strRef>
              <c:f>'Payment Status'!$C$3</c:f>
              <c:strCache>
                <c:ptCount val="1"/>
                <c:pt idx="0">
                  <c:v>Count of order I'D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DDC4-43BF-8D8D-2D546ED884D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DDC4-43BF-8D8D-2D546ED884D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DDC4-43BF-8D8D-2D546ED884D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'Payment Status'!$A$4:$A$6</c:f>
              <c:strCache>
                <c:ptCount val="2"/>
                <c:pt idx="0">
                  <c:v>Paid</c:v>
                </c:pt>
                <c:pt idx="1">
                  <c:v>Pending</c:v>
                </c:pt>
              </c:strCache>
            </c:strRef>
          </c:cat>
          <c:val>
            <c:numRef>
              <c:f>'Payment Status'!$C$4:$C$6</c:f>
              <c:numCache>
                <c:formatCode>General</c:formatCode>
                <c:ptCount val="2"/>
                <c:pt idx="0">
                  <c:v>3</c:v>
                </c:pt>
                <c:pt idx="1">
                  <c:v>4</c:v>
                </c:pt>
              </c:numCache>
            </c:numRef>
          </c:val>
          <c:extLst>
            <c:ext xmlns:c16="http://schemas.microsoft.com/office/drawing/2014/chart" uri="{C3380CC4-5D6E-409C-BE32-E72D297353CC}">
              <c16:uniqueId val="{0000000D-DDC4-43BF-8D8D-2D546ED884D2}"/>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82336552066794122"/>
          <c:y val="0.13495568016777057"/>
          <c:w val="0.15605834764481599"/>
          <c:h val="0.209368711045114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[sales_dashboard.xlsx]Delivary Status!PivotTable10</c:name>
    <c:fmtId val="3"/>
  </c:pivotSource>
  <c:chart>
    <c:title>
      <c:tx>
        <c:rich>
          <a:bodyPr rot="0" spcFirstLastPara="1" vertOverflow="ellipsis" vert="horz" wrap="square" anchor="ctr" anchorCtr="1"/>
          <a:lstStyle/>
          <a:p>
            <a:pPr algn="l">
              <a:defRPr sz="1800" b="1" i="0" u="none" strike="noStrike" kern="1200" baseline="0">
                <a:solidFill>
                  <a:schemeClr val="dk1">
                    <a:lumMod val="65000"/>
                    <a:lumOff val="35000"/>
                  </a:schemeClr>
                </a:solidFill>
                <a:latin typeface="+mn-lt"/>
                <a:ea typeface="+mn-ea"/>
                <a:cs typeface="+mn-cs"/>
              </a:defRPr>
            </a:pPr>
            <a:r>
              <a:rPr lang="en-IN"/>
              <a:t>Delivery Status Distribution</a:t>
            </a:r>
            <a:endParaRPr lang="en-US"/>
          </a:p>
        </c:rich>
      </c:tx>
      <c:layout>
        <c:manualLayout>
          <c:xMode val="edge"/>
          <c:yMode val="edge"/>
          <c:x val="0.1270244395680048"/>
          <c:y val="5.937234944868533E-2"/>
        </c:manualLayout>
      </c:layout>
      <c:overlay val="0"/>
      <c:spPr>
        <a:noFill/>
        <a:ln>
          <a:noFill/>
        </a:ln>
        <a:effectLst/>
      </c:spPr>
      <c:txPr>
        <a:bodyPr rot="0" spcFirstLastPara="1" vertOverflow="ellipsis" vert="horz" wrap="square" anchor="ctr" anchorCtr="1"/>
        <a:lstStyle/>
        <a:p>
          <a:pPr algn="l">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'Delivary Status'!$B$3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C5B-406B-94FE-99648B954C3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C5B-406B-94FE-99648B954C3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C5B-406B-94FE-99648B954C3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'Delivary Status'!$A$4:$A$7</c:f>
              <c:strCache>
                <c:ptCount val="3"/>
                <c:pt idx="0">
                  <c:v>Cancelled</c:v>
                </c:pt>
                <c:pt idx="1">
                  <c:v>Delivered</c:v>
                </c:pt>
                <c:pt idx="2">
                  <c:v>InTransit</c:v>
                </c:pt>
              </c:strCache>
            </c:strRef>
          </c:cat>
          <c:val>
            <c:numRef>
              <c:f>'Delivary Status'!$B$4:$B$7</c:f>
              <c:numCache>
                <c:formatCode>General</c:formatCode>
                <c:ptCount val="3"/>
                <c:pt idx="0">
                  <c:v>2</c:v>
                </c:pt>
                <c:pt idx="1">
                  <c:v>3</c:v>
                </c:pt>
                <c:pt idx="2">
                  <c:v>2</c:v>
                </c:pt>
              </c:numCache>
            </c:numRef>
          </c:val>
          <c:extLst>
            <c:ext xmlns:c16="http://schemas.microsoft.com/office/drawing/2014/chart" uri="{C3380CC4-5D6E-409C-BE32-E72D297353CC}">
              <c16:uniqueId val="{00000006-8C5B-406B-94FE-99648B954C3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8021976248870528"/>
          <c:y val="0.1996386902018927"/>
          <c:w val="0.17538133040746956"/>
          <c:h val="0.214696159163310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[sales_dashboard.xlsx]Product Analysis!PivotTable12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Analysis'!$B$3</c:f>
              <c:strCache>
                <c:ptCount val="1"/>
                <c:pt idx="0">
                  <c:v>Count of order I'D</c:v>
                </c:pt>
              </c:strCache>
            </c:strRef>
          </c:tx>
          <c:spPr>
            <a:solidFill>
              <a:schemeClr val="accent1"/>
            </a:solidFill>
            <a:ln>
              <a:noFill/>
            </a:ln>
            <a:effectLst/>
          </c:spPr>
          <c:invertIfNegative val="0"/>
          <c:cat>
            <c:strRef>
              <c:f>'Product Analysis'!$A$4:$A$9</c:f>
              <c:strCache>
                <c:ptCount val="5"/>
                <c:pt idx="0">
                  <c:v>Laptop</c:v>
                </c:pt>
                <c:pt idx="1">
                  <c:v>Monitor</c:v>
                </c:pt>
                <c:pt idx="2">
                  <c:v>Mouse</c:v>
                </c:pt>
                <c:pt idx="3">
                  <c:v>Smartwatch</c:v>
                </c:pt>
                <c:pt idx="4">
                  <c:v>Tablet</c:v>
                </c:pt>
              </c:strCache>
            </c:strRef>
          </c:cat>
          <c:val>
            <c:numRef>
              <c:f>'Product Analysis'!$B$4:$B$9</c:f>
              <c:numCache>
                <c:formatCode>General</c:formatCode>
                <c:ptCount val="5"/>
                <c:pt idx="0">
                  <c:v>1</c:v>
                </c:pt>
                <c:pt idx="1">
                  <c:v>1</c:v>
                </c:pt>
                <c:pt idx="2">
                  <c:v>1</c:v>
                </c:pt>
                <c:pt idx="3">
                  <c:v>1</c:v>
                </c:pt>
                <c:pt idx="4">
                  <c:v>3</c:v>
                </c:pt>
              </c:numCache>
            </c:numRef>
          </c:val>
          <c:extLst>
            <c:ext xmlns:c16="http://schemas.microsoft.com/office/drawing/2014/chart" uri="{C3380CC4-5D6E-409C-BE32-E72D297353CC}">
              <c16:uniqueId val="{00000000-7550-4009-A653-4889D8ACE5F8}"/>
            </c:ext>
          </c:extLst>
        </c:ser>
        <c:dLbls>
          <c:showLegendKey val="0"/>
          <c:showVal val="0"/>
          <c:showCatName val="0"/>
          <c:showSerName val="0"/>
          <c:showPercent val="0"/>
          <c:showBubbleSize val="0"/>
        </c:dLbls>
        <c:gapWidth val="219"/>
        <c:overlap val="-27"/>
        <c:axId val="559223728"/>
        <c:axId val="559218448"/>
      </c:barChart>
      <c:lineChart>
        <c:grouping val="standard"/>
        <c:varyColors val="0"/>
        <c:ser>
          <c:idx val="1"/>
          <c:order val="1"/>
          <c:tx>
            <c:strRef>
              <c:f>'Product Analysis'!$C$3</c:f>
              <c:strCache>
                <c:ptCount val="1"/>
                <c:pt idx="0">
                  <c:v>Sum of Amount Paid</c:v>
                </c:pt>
              </c:strCache>
            </c:strRef>
          </c:tx>
          <c:spPr>
            <a:ln w="28575" cap="rnd">
              <a:solidFill>
                <a:schemeClr val="accent2"/>
              </a:solidFill>
              <a:round/>
            </a:ln>
            <a:effectLst/>
          </c:spPr>
          <c:marker>
            <c:symbol val="none"/>
          </c:marker>
          <c:cat>
            <c:strRef>
              <c:f>'Product Analysis'!$A$4:$A$9</c:f>
              <c:strCache>
                <c:ptCount val="5"/>
                <c:pt idx="0">
                  <c:v>Laptop</c:v>
                </c:pt>
                <c:pt idx="1">
                  <c:v>Monitor</c:v>
                </c:pt>
                <c:pt idx="2">
                  <c:v>Mouse</c:v>
                </c:pt>
                <c:pt idx="3">
                  <c:v>Smartwatch</c:v>
                </c:pt>
                <c:pt idx="4">
                  <c:v>Tablet</c:v>
                </c:pt>
              </c:strCache>
            </c:strRef>
          </c:cat>
          <c:val>
            <c:numRef>
              <c:f>'Product Analysis'!$C$4:$C$9</c:f>
              <c:numCache>
                <c:formatCode>"₹"\ #,##0</c:formatCode>
                <c:ptCount val="5"/>
                <c:pt idx="0">
                  <c:v>738.76</c:v>
                </c:pt>
                <c:pt idx="1">
                  <c:v>668.37</c:v>
                </c:pt>
                <c:pt idx="2">
                  <c:v>1320.34</c:v>
                </c:pt>
                <c:pt idx="3">
                  <c:v>76.31</c:v>
                </c:pt>
                <c:pt idx="4">
                  <c:v>1857.7399999999998</c:v>
                </c:pt>
              </c:numCache>
            </c:numRef>
          </c:val>
          <c:smooth val="0"/>
          <c:extLst>
            <c:ext xmlns:c16="http://schemas.microsoft.com/office/drawing/2014/chart" uri="{C3380CC4-5D6E-409C-BE32-E72D297353CC}">
              <c16:uniqueId val="{00000001-7550-4009-A653-4889D8ACE5F8}"/>
            </c:ext>
          </c:extLst>
        </c:ser>
        <c:dLbls>
          <c:showLegendKey val="0"/>
          <c:showVal val="0"/>
          <c:showCatName val="0"/>
          <c:showSerName val="0"/>
          <c:showPercent val="0"/>
          <c:showBubbleSize val="0"/>
        </c:dLbls>
        <c:marker val="1"/>
        <c:smooth val="0"/>
        <c:axId val="559217488"/>
        <c:axId val="559221808"/>
      </c:lineChart>
      <c:catAx>
        <c:axId val="55922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218448"/>
        <c:crosses val="autoZero"/>
        <c:auto val="1"/>
        <c:lblAlgn val="ctr"/>
        <c:lblOffset val="100"/>
        <c:noMultiLvlLbl val="0"/>
      </c:catAx>
      <c:valAx>
        <c:axId val="55921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223728"/>
        <c:crosses val="autoZero"/>
        <c:crossBetween val="between"/>
      </c:valAx>
      <c:valAx>
        <c:axId val="559221808"/>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217488"/>
        <c:crosses val="max"/>
        <c:crossBetween val="between"/>
      </c:valAx>
      <c:catAx>
        <c:axId val="559217488"/>
        <c:scaling>
          <c:orientation val="minMax"/>
        </c:scaling>
        <c:delete val="1"/>
        <c:axPos val="b"/>
        <c:numFmt formatCode="General" sourceLinked="1"/>
        <c:majorTickMark val="out"/>
        <c:minorTickMark val="none"/>
        <c:tickLblPos val="nextTo"/>
        <c:crossAx val="5592218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[sales_dashboard.xlsx]City Analsys!PivotTable13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Analsys'!$B$3</c:f>
              <c:strCache>
                <c:ptCount val="1"/>
                <c:pt idx="0">
                  <c:v>Count of order I'D</c:v>
                </c:pt>
              </c:strCache>
            </c:strRef>
          </c:tx>
          <c:spPr>
            <a:solidFill>
              <a:schemeClr val="accent1"/>
            </a:solidFill>
            <a:ln>
              <a:noFill/>
            </a:ln>
            <a:effectLst/>
          </c:spPr>
          <c:invertIfNegative val="0"/>
          <c:cat>
            <c:strRef>
              <c:f>'City Analsys'!$A$4:$A$10</c:f>
              <c:strCache>
                <c:ptCount val="6"/>
                <c:pt idx="0">
                  <c:v>Ahmedabad</c:v>
                </c:pt>
                <c:pt idx="1">
                  <c:v>Bangalore</c:v>
                </c:pt>
                <c:pt idx="2">
                  <c:v>Chennai</c:v>
                </c:pt>
                <c:pt idx="3">
                  <c:v>Hyderabad</c:v>
                </c:pt>
                <c:pt idx="4">
                  <c:v>Mumbai</c:v>
                </c:pt>
                <c:pt idx="5">
                  <c:v>Pune</c:v>
                </c:pt>
              </c:strCache>
            </c:strRef>
          </c:cat>
          <c:val>
            <c:numRef>
              <c:f>'City Analsys'!$B$4:$B$10</c:f>
              <c:numCache>
                <c:formatCode>General</c:formatCode>
                <c:ptCount val="6"/>
                <c:pt idx="0">
                  <c:v>1</c:v>
                </c:pt>
                <c:pt idx="1">
                  <c:v>1</c:v>
                </c:pt>
                <c:pt idx="2">
                  <c:v>1</c:v>
                </c:pt>
                <c:pt idx="3">
                  <c:v>1</c:v>
                </c:pt>
                <c:pt idx="4">
                  <c:v>2</c:v>
                </c:pt>
                <c:pt idx="5">
                  <c:v>1</c:v>
                </c:pt>
              </c:numCache>
            </c:numRef>
          </c:val>
          <c:extLst>
            <c:ext xmlns:c16="http://schemas.microsoft.com/office/drawing/2014/chart" uri="{C3380CC4-5D6E-409C-BE32-E72D297353CC}">
              <c16:uniqueId val="{00000000-1A11-4D9A-84B7-64A8A260CD31}"/>
            </c:ext>
          </c:extLst>
        </c:ser>
        <c:dLbls>
          <c:showLegendKey val="0"/>
          <c:showVal val="0"/>
          <c:showCatName val="0"/>
          <c:showSerName val="0"/>
          <c:showPercent val="0"/>
          <c:showBubbleSize val="0"/>
        </c:dLbls>
        <c:gapWidth val="219"/>
        <c:overlap val="-27"/>
        <c:axId val="1660276047"/>
        <c:axId val="1660276527"/>
      </c:barChart>
      <c:lineChart>
        <c:grouping val="standard"/>
        <c:varyColors val="0"/>
        <c:ser>
          <c:idx val="1"/>
          <c:order val="1"/>
          <c:tx>
            <c:strRef>
              <c:f>'City Analsys'!$C$3</c:f>
              <c:strCache>
                <c:ptCount val="1"/>
                <c:pt idx="0">
                  <c:v>Sum of Amount Paid</c:v>
                </c:pt>
              </c:strCache>
            </c:strRef>
          </c:tx>
          <c:spPr>
            <a:ln w="28575" cap="rnd">
              <a:solidFill>
                <a:schemeClr val="accent2"/>
              </a:solidFill>
              <a:round/>
            </a:ln>
            <a:effectLst/>
          </c:spPr>
          <c:marker>
            <c:symbol val="none"/>
          </c:marker>
          <c:cat>
            <c:strRef>
              <c:f>'City Analsys'!$A$4:$A$10</c:f>
              <c:strCache>
                <c:ptCount val="6"/>
                <c:pt idx="0">
                  <c:v>Ahmedabad</c:v>
                </c:pt>
                <c:pt idx="1">
                  <c:v>Bangalore</c:v>
                </c:pt>
                <c:pt idx="2">
                  <c:v>Chennai</c:v>
                </c:pt>
                <c:pt idx="3">
                  <c:v>Hyderabad</c:v>
                </c:pt>
                <c:pt idx="4">
                  <c:v>Mumbai</c:v>
                </c:pt>
                <c:pt idx="5">
                  <c:v>Pune</c:v>
                </c:pt>
              </c:strCache>
            </c:strRef>
          </c:cat>
          <c:val>
            <c:numRef>
              <c:f>'City Analsys'!$C$4:$C$10</c:f>
              <c:numCache>
                <c:formatCode>"₹"\ #,##0</c:formatCode>
                <c:ptCount val="6"/>
                <c:pt idx="0">
                  <c:v>76.31</c:v>
                </c:pt>
                <c:pt idx="1">
                  <c:v>825.71</c:v>
                </c:pt>
                <c:pt idx="2">
                  <c:v>510.37</c:v>
                </c:pt>
                <c:pt idx="3">
                  <c:v>521.66</c:v>
                </c:pt>
                <c:pt idx="4">
                  <c:v>1988.71</c:v>
                </c:pt>
                <c:pt idx="5">
                  <c:v>738.76</c:v>
                </c:pt>
              </c:numCache>
            </c:numRef>
          </c:val>
          <c:smooth val="0"/>
          <c:extLst>
            <c:ext xmlns:c16="http://schemas.microsoft.com/office/drawing/2014/chart" uri="{C3380CC4-5D6E-409C-BE32-E72D297353CC}">
              <c16:uniqueId val="{00000001-1A11-4D9A-84B7-64A8A260CD31}"/>
            </c:ext>
          </c:extLst>
        </c:ser>
        <c:dLbls>
          <c:showLegendKey val="0"/>
          <c:showVal val="0"/>
          <c:showCatName val="0"/>
          <c:showSerName val="0"/>
          <c:showPercent val="0"/>
          <c:showBubbleSize val="0"/>
        </c:dLbls>
        <c:marker val="1"/>
        <c:smooth val="0"/>
        <c:axId val="1659935983"/>
        <c:axId val="1659938863"/>
      </c:lineChart>
      <c:catAx>
        <c:axId val="166027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276527"/>
        <c:crosses val="autoZero"/>
        <c:auto val="1"/>
        <c:lblAlgn val="ctr"/>
        <c:lblOffset val="100"/>
        <c:noMultiLvlLbl val="0"/>
      </c:catAx>
      <c:valAx>
        <c:axId val="166027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276047"/>
        <c:crosses val="autoZero"/>
        <c:crossBetween val="between"/>
      </c:valAx>
      <c:valAx>
        <c:axId val="1659938863"/>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35983"/>
        <c:crosses val="max"/>
        <c:crossBetween val="between"/>
      </c:valAx>
      <c:catAx>
        <c:axId val="1659935983"/>
        <c:scaling>
          <c:orientation val="minMax"/>
        </c:scaling>
        <c:delete val="1"/>
        <c:axPos val="b"/>
        <c:numFmt formatCode="General" sourceLinked="1"/>
        <c:majorTickMark val="out"/>
        <c:minorTickMark val="none"/>
        <c:tickLblPos val="nextTo"/>
        <c:crossAx val="16599388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emf"/><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11</xdr:col>
      <xdr:colOff>403860</xdr:colOff>
      <xdr:row>15</xdr:row>
      <xdr:rowOff>91440</xdr:rowOff>
    </xdr:from>
    <xdr:to>
      <xdr:col>14</xdr:col>
      <xdr:colOff>591060</xdr:colOff>
      <xdr:row>25</xdr:row>
      <xdr:rowOff>170640</xdr:rowOff>
    </xdr:to>
    <mc:AlternateContent xmlns:mc="http://schemas.openxmlformats.org/markup-compatibility/2006" xmlns:a14="http://schemas.microsoft.com/office/drawing/2010/main">
      <mc:Choice Requires="a14">
        <xdr:graphicFrame macro="">
          <xdr:nvGraphicFramePr>
            <xdr:cNvPr id="3" name="Purchase Year">
              <a:extLst>
                <a:ext uri="{FF2B5EF4-FFF2-40B4-BE49-F238E27FC236}">
                  <a16:creationId xmlns:a16="http://schemas.microsoft.com/office/drawing/2014/main" id="{E53EF25C-D667-C47C-2902-CCA7A19D1E5D}"/>
                </a:ext>
              </a:extLst>
            </xdr:cNvPr>
            <xdr:cNvGraphicFramePr/>
          </xdr:nvGraphicFramePr>
          <xdr:xfrm>
            <a:off x="0" y="0"/>
            <a:ext cx="0" cy="0"/>
          </xdr:xfrm>
          <a:graphic>
            <a:graphicData uri="http://schemas.microsoft.com/office/drawing/2010/slicer">
              <sle:slicer xmlns:sle="http://schemas.microsoft.com/office/drawing/2010/slicer" name="Purchase Year"/>
            </a:graphicData>
          </a:graphic>
        </xdr:graphicFrame>
      </mc:Choice>
      <mc:Fallback xmlns="">
        <xdr:sp macro="" textlink="">
          <xdr:nvSpPr>
            <xdr:cNvPr id="0" name=""/>
            <xdr:cNvSpPr>
              <a:spLocks noTextEdit="1"/>
            </xdr:cNvSpPr>
          </xdr:nvSpPr>
          <xdr:spPr>
            <a:xfrm>
              <a:off x="8785860" y="2834640"/>
              <a:ext cx="2016000" cy="19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320040</xdr:colOff>
      <xdr:row>1</xdr:row>
      <xdr:rowOff>68580</xdr:rowOff>
    </xdr:from>
    <xdr:to>
      <xdr:col>10</xdr:col>
      <xdr:colOff>365760</xdr:colOff>
      <xdr:row>17</xdr:row>
      <xdr:rowOff>106680</xdr:rowOff>
    </xdr:to>
    <xdr:graphicFrame macro="">
      <xdr:nvGraphicFramePr>
        <xdr:cNvPr id="4" name="Chart 3">
          <a:extLst>
            <a:ext uri="{FF2B5EF4-FFF2-40B4-BE49-F238E27FC236}">
              <a16:creationId xmlns:a16="http://schemas.microsoft.com/office/drawing/2014/main" id="{C21496A0-00B0-AD12-E7B3-27B7C9C6F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586740</xdr:colOff>
      <xdr:row>0</xdr:row>
      <xdr:rowOff>175260</xdr:rowOff>
    </xdr:from>
    <xdr:to>
      <xdr:col>11</xdr:col>
      <xdr:colOff>289560</xdr:colOff>
      <xdr:row>16</xdr:row>
      <xdr:rowOff>167640</xdr:rowOff>
    </xdr:to>
    <xdr:graphicFrame macro="">
      <xdr:nvGraphicFramePr>
        <xdr:cNvPr id="2" name="Chart 1">
          <a:extLst>
            <a:ext uri="{FF2B5EF4-FFF2-40B4-BE49-F238E27FC236}">
              <a16:creationId xmlns:a16="http://schemas.microsoft.com/office/drawing/2014/main" id="{18F77B1A-0970-7C3A-6273-0E9EA0660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251460</xdr:colOff>
      <xdr:row>1</xdr:row>
      <xdr:rowOff>137160</xdr:rowOff>
    </xdr:from>
    <xdr:to>
      <xdr:col>10</xdr:col>
      <xdr:colOff>297180</xdr:colOff>
      <xdr:row>18</xdr:row>
      <xdr:rowOff>99060</xdr:rowOff>
    </xdr:to>
    <xdr:graphicFrame macro="">
      <xdr:nvGraphicFramePr>
        <xdr:cNvPr id="2" name="Chart 1">
          <a:extLst>
            <a:ext uri="{FF2B5EF4-FFF2-40B4-BE49-F238E27FC236}">
              <a16:creationId xmlns:a16="http://schemas.microsoft.com/office/drawing/2014/main" id="{9840F664-9137-EBAD-4157-4339810448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289560</xdr:colOff>
      <xdr:row>1</xdr:row>
      <xdr:rowOff>83820</xdr:rowOff>
    </xdr:from>
    <xdr:to>
      <xdr:col>10</xdr:col>
      <xdr:colOff>297180</xdr:colOff>
      <xdr:row>16</xdr:row>
      <xdr:rowOff>83820</xdr:rowOff>
    </xdr:to>
    <xdr:graphicFrame macro="">
      <xdr:nvGraphicFramePr>
        <xdr:cNvPr id="2" name="Chart 1">
          <a:extLst>
            <a:ext uri="{FF2B5EF4-FFF2-40B4-BE49-F238E27FC236}">
              <a16:creationId xmlns:a16="http://schemas.microsoft.com/office/drawing/2014/main" id="{03403204-5B5A-24AA-FD9F-CFFFC336C7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281940</xdr:colOff>
      <xdr:row>1</xdr:row>
      <xdr:rowOff>121920</xdr:rowOff>
    </xdr:from>
    <xdr:to>
      <xdr:col>14</xdr:col>
      <xdr:colOff>228600</xdr:colOff>
      <xdr:row>23</xdr:row>
      <xdr:rowOff>0</xdr:rowOff>
    </xdr:to>
    <xdr:graphicFrame macro="">
      <xdr:nvGraphicFramePr>
        <xdr:cNvPr id="3" name="Chart 2">
          <a:extLst>
            <a:ext uri="{FF2B5EF4-FFF2-40B4-BE49-F238E27FC236}">
              <a16:creationId xmlns:a16="http://schemas.microsoft.com/office/drawing/2014/main" id="{FBB66442-8209-5100-04B9-927642C89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137160</xdr:colOff>
      <xdr:row>3</xdr:row>
      <xdr:rowOff>0</xdr:rowOff>
    </xdr:from>
    <xdr:to>
      <xdr:col>20</xdr:col>
      <xdr:colOff>257160</xdr:colOff>
      <xdr:row>17</xdr:row>
      <xdr:rowOff>91440</xdr:rowOff>
    </xdr:to>
    <mc:AlternateContent xmlns:mc="http://schemas.openxmlformats.org/markup-compatibility/2006" xmlns:a14="http://schemas.microsoft.com/office/drawing/2010/main">
      <mc:Choice Requires="a14">
        <xdr:graphicFrame macro="">
          <xdr:nvGraphicFramePr>
            <xdr:cNvPr id="2" name="Product Purchased">
              <a:extLst>
                <a:ext uri="{FF2B5EF4-FFF2-40B4-BE49-F238E27FC236}">
                  <a16:creationId xmlns:a16="http://schemas.microsoft.com/office/drawing/2014/main" id="{D7D7FDCB-7926-62E1-000E-299A3C0F3F11}"/>
                </a:ext>
              </a:extLst>
            </xdr:cNvPr>
            <xdr:cNvGraphicFramePr/>
          </xdr:nvGraphicFramePr>
          <xdr:xfrm>
            <a:off x="0" y="0"/>
            <a:ext cx="0" cy="0"/>
          </xdr:xfrm>
          <a:graphic>
            <a:graphicData uri="http://schemas.microsoft.com/office/drawing/2010/slicer">
              <sle:slicer xmlns:sle="http://schemas.microsoft.com/office/drawing/2010/slicer" name="Product Purchased"/>
            </a:graphicData>
          </a:graphic>
        </xdr:graphicFrame>
      </mc:Choice>
      <mc:Fallback xmlns="">
        <xdr:sp macro="" textlink="">
          <xdr:nvSpPr>
            <xdr:cNvPr id="0" name=""/>
            <xdr:cNvSpPr>
              <a:spLocks noTextEdit="1"/>
            </xdr:cNvSpPr>
          </xdr:nvSpPr>
          <xdr:spPr>
            <a:xfrm>
              <a:off x="10698480" y="548640"/>
              <a:ext cx="3168000" cy="2651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617220</xdr:colOff>
      <xdr:row>16</xdr:row>
      <xdr:rowOff>99060</xdr:rowOff>
    </xdr:from>
    <xdr:to>
      <xdr:col>3</xdr:col>
      <xdr:colOff>248160</xdr:colOff>
      <xdr:row>26</xdr:row>
      <xdr:rowOff>178260</xdr:rowOff>
    </xdr:to>
    <mc:AlternateContent xmlns:mc="http://schemas.openxmlformats.org/markup-compatibility/2006" xmlns:a14="http://schemas.microsoft.com/office/drawing/2010/main">
      <mc:Choice Requires="a14">
        <xdr:graphicFrame macro="">
          <xdr:nvGraphicFramePr>
            <xdr:cNvPr id="5" name="Purchase Year 2">
              <a:extLst>
                <a:ext uri="{FF2B5EF4-FFF2-40B4-BE49-F238E27FC236}">
                  <a16:creationId xmlns:a16="http://schemas.microsoft.com/office/drawing/2014/main" id="{1CC87D50-B1F6-4E5A-B1F5-699FB24316BE}"/>
                </a:ext>
              </a:extLst>
            </xdr:cNvPr>
            <xdr:cNvGraphicFramePr/>
          </xdr:nvGraphicFramePr>
          <xdr:xfrm>
            <a:off x="0" y="0"/>
            <a:ext cx="0" cy="0"/>
          </xdr:xfrm>
          <a:graphic>
            <a:graphicData uri="http://schemas.microsoft.com/office/drawing/2010/slicer">
              <sle:slicer xmlns:sle="http://schemas.microsoft.com/office/drawing/2010/slicer" name="Purchase Year 2"/>
            </a:graphicData>
          </a:graphic>
        </xdr:graphicFrame>
      </mc:Choice>
      <mc:Fallback xmlns="">
        <xdr:sp macro="" textlink="">
          <xdr:nvSpPr>
            <xdr:cNvPr id="0" name=""/>
            <xdr:cNvSpPr>
              <a:spLocks noTextEdit="1"/>
            </xdr:cNvSpPr>
          </xdr:nvSpPr>
          <xdr:spPr>
            <a:xfrm>
              <a:off x="1478280" y="3025140"/>
              <a:ext cx="2016000" cy="19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320040</xdr:colOff>
      <xdr:row>1</xdr:row>
      <xdr:rowOff>45720</xdr:rowOff>
    </xdr:from>
    <xdr:to>
      <xdr:col>17</xdr:col>
      <xdr:colOff>121920</xdr:colOff>
      <xdr:row>20</xdr:row>
      <xdr:rowOff>152400</xdr:rowOff>
    </xdr:to>
    <xdr:graphicFrame macro="">
      <xdr:nvGraphicFramePr>
        <xdr:cNvPr id="2" name="Chart 1">
          <a:extLst>
            <a:ext uri="{FF2B5EF4-FFF2-40B4-BE49-F238E27FC236}">
              <a16:creationId xmlns:a16="http://schemas.microsoft.com/office/drawing/2014/main" id="{09965449-D989-FBBD-6383-6A49E116B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91440</xdr:colOff>
      <xdr:row>15</xdr:row>
      <xdr:rowOff>99060</xdr:rowOff>
    </xdr:from>
    <xdr:to>
      <xdr:col>3</xdr:col>
      <xdr:colOff>301320</xdr:colOff>
      <xdr:row>30</xdr:row>
      <xdr:rowOff>55860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095B83EA-1920-7B49-3102-C7931ECE696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1440" y="2842260"/>
              <a:ext cx="3456000" cy="27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24</xdr:row>
      <xdr:rowOff>0</xdr:rowOff>
    </xdr:from>
    <xdr:to>
      <xdr:col>14</xdr:col>
      <xdr:colOff>187200</xdr:colOff>
      <xdr:row>34</xdr:row>
      <xdr:rowOff>79200</xdr:rowOff>
    </xdr:to>
    <mc:AlternateContent xmlns:mc="http://schemas.openxmlformats.org/markup-compatibility/2006">
      <mc:Choice xmlns:a14="http://schemas.microsoft.com/office/drawing/2010/main" Requires="a14">
        <xdr:graphicFrame macro="">
          <xdr:nvGraphicFramePr>
            <xdr:cNvPr id="6" name="Purchase Year 3">
              <a:extLst>
                <a:ext uri="{FF2B5EF4-FFF2-40B4-BE49-F238E27FC236}">
                  <a16:creationId xmlns:a16="http://schemas.microsoft.com/office/drawing/2014/main" id="{2C1A8E8E-34C4-4BEE-9DD1-A5D10E9F9A00}"/>
                </a:ext>
              </a:extLst>
            </xdr:cNvPr>
            <xdr:cNvGraphicFramePr/>
          </xdr:nvGraphicFramePr>
          <xdr:xfrm>
            <a:off x="0" y="0"/>
            <a:ext cx="0" cy="0"/>
          </xdr:xfrm>
          <a:graphic>
            <a:graphicData uri="http://schemas.microsoft.com/office/drawing/2010/slicer">
              <sle:slicer xmlns:sle="http://schemas.microsoft.com/office/drawing/2010/slicer" name="Purchase Year 3"/>
            </a:graphicData>
          </a:graphic>
        </xdr:graphicFrame>
      </mc:Choice>
      <mc:Fallback>
        <xdr:sp macro="" textlink="">
          <xdr:nvSpPr>
            <xdr:cNvPr id="0" name=""/>
            <xdr:cNvSpPr>
              <a:spLocks noTextEdit="1"/>
            </xdr:cNvSpPr>
          </xdr:nvSpPr>
          <xdr:spPr>
            <a:xfrm>
              <a:off x="8122920" y="4389120"/>
              <a:ext cx="2016000" cy="19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222069</xdr:colOff>
      <xdr:row>0</xdr:row>
      <xdr:rowOff>0</xdr:rowOff>
    </xdr:from>
    <xdr:to>
      <xdr:col>7</xdr:col>
      <xdr:colOff>595449</xdr:colOff>
      <xdr:row>10</xdr:row>
      <xdr:rowOff>137160</xdr:rowOff>
    </xdr:to>
    <xdr:sp macro="" textlink="">
      <xdr:nvSpPr>
        <xdr:cNvPr id="15" name="Rectangle 14">
          <a:extLst>
            <a:ext uri="{FF2B5EF4-FFF2-40B4-BE49-F238E27FC236}">
              <a16:creationId xmlns:a16="http://schemas.microsoft.com/office/drawing/2014/main" id="{E05FB90C-BA71-70A7-F856-1C930F5B81BE}"/>
            </a:ext>
          </a:extLst>
        </xdr:cNvPr>
        <xdr:cNvSpPr/>
      </xdr:nvSpPr>
      <xdr:spPr>
        <a:xfrm>
          <a:off x="222069" y="0"/>
          <a:ext cx="4640580" cy="2913017"/>
        </a:xfrm>
        <a:prstGeom prst="rect">
          <a:avLst/>
        </a:prstGeom>
        <a:solidFill>
          <a:schemeClr val="accent4">
            <a:lumMod val="40000"/>
            <a:lumOff val="6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KPIS</a:t>
          </a:r>
        </a:p>
      </xdr:txBody>
    </xdr:sp>
    <xdr:clientData/>
  </xdr:twoCellAnchor>
  <xdr:twoCellAnchor>
    <xdr:from>
      <xdr:col>0</xdr:col>
      <xdr:colOff>22860</xdr:colOff>
      <xdr:row>1</xdr:row>
      <xdr:rowOff>160020</xdr:rowOff>
    </xdr:from>
    <xdr:to>
      <xdr:col>7</xdr:col>
      <xdr:colOff>381000</xdr:colOff>
      <xdr:row>1</xdr:row>
      <xdr:rowOff>160020</xdr:rowOff>
    </xdr:to>
    <xdr:cxnSp macro="">
      <xdr:nvCxnSpPr>
        <xdr:cNvPr id="29" name="Straight Connector 28">
          <a:extLst>
            <a:ext uri="{FF2B5EF4-FFF2-40B4-BE49-F238E27FC236}">
              <a16:creationId xmlns:a16="http://schemas.microsoft.com/office/drawing/2014/main" id="{7460284C-58B4-408F-8DAE-16CA4AF8C18B}"/>
            </a:ext>
          </a:extLst>
        </xdr:cNvPr>
        <xdr:cNvCxnSpPr/>
      </xdr:nvCxnSpPr>
      <xdr:spPr>
        <a:xfrm>
          <a:off x="22860" y="525780"/>
          <a:ext cx="462534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8</xdr:col>
      <xdr:colOff>297177</xdr:colOff>
      <xdr:row>1</xdr:row>
      <xdr:rowOff>274321</xdr:rowOff>
    </xdr:from>
    <xdr:to>
      <xdr:col>13</xdr:col>
      <xdr:colOff>435429</xdr:colOff>
      <xdr:row>11</xdr:row>
      <xdr:rowOff>167521</xdr:rowOff>
    </xdr:to>
    <mc:AlternateContent xmlns:mc="http://schemas.openxmlformats.org/markup-compatibility/2006">
      <mc:Choice xmlns:a14="http://schemas.microsoft.com/office/drawing/2010/main" Requires="a14">
        <xdr:graphicFrame macro="">
          <xdr:nvGraphicFramePr>
            <xdr:cNvPr id="38" name="Purchase Year 1">
              <a:extLst>
                <a:ext uri="{FF2B5EF4-FFF2-40B4-BE49-F238E27FC236}">
                  <a16:creationId xmlns:a16="http://schemas.microsoft.com/office/drawing/2014/main" id="{01A488BD-199B-4140-9CBD-AAFA5886A8A4}"/>
                </a:ext>
              </a:extLst>
            </xdr:cNvPr>
            <xdr:cNvGraphicFramePr/>
          </xdr:nvGraphicFramePr>
          <xdr:xfrm>
            <a:off x="0" y="0"/>
            <a:ext cx="0" cy="0"/>
          </xdr:xfrm>
          <a:graphic>
            <a:graphicData uri="http://schemas.microsoft.com/office/drawing/2010/slicer">
              <sle:slicer xmlns:sle="http://schemas.microsoft.com/office/drawing/2010/slicer" name="Purchase Year 1"/>
            </a:graphicData>
          </a:graphic>
        </xdr:graphicFrame>
      </mc:Choice>
      <mc:Fallback>
        <xdr:sp macro="" textlink="">
          <xdr:nvSpPr>
            <xdr:cNvPr id="0" name=""/>
            <xdr:cNvSpPr>
              <a:spLocks noTextEdit="1"/>
            </xdr:cNvSpPr>
          </xdr:nvSpPr>
          <xdr:spPr>
            <a:xfrm>
              <a:off x="5197883" y="640380"/>
              <a:ext cx="3201193" cy="243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289560</xdr:colOff>
      <xdr:row>0</xdr:row>
      <xdr:rowOff>30480</xdr:rowOff>
    </xdr:from>
    <xdr:to>
      <xdr:col>13</xdr:col>
      <xdr:colOff>391886</xdr:colOff>
      <xdr:row>1</xdr:row>
      <xdr:rowOff>205740</xdr:rowOff>
    </xdr:to>
    <xdr:sp macro="" textlink="">
      <xdr:nvSpPr>
        <xdr:cNvPr id="39" name="Rectangle 38">
          <a:extLst>
            <a:ext uri="{FF2B5EF4-FFF2-40B4-BE49-F238E27FC236}">
              <a16:creationId xmlns:a16="http://schemas.microsoft.com/office/drawing/2014/main" id="{D5443D24-9F58-96E9-4684-A34D453AD9D3}"/>
            </a:ext>
          </a:extLst>
        </xdr:cNvPr>
        <xdr:cNvSpPr/>
      </xdr:nvSpPr>
      <xdr:spPr>
        <a:xfrm>
          <a:off x="5166360" y="30480"/>
          <a:ext cx="3150326" cy="5453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ysClr val="windowText" lastClr="000000"/>
              </a:solidFill>
            </a:rPr>
            <a:t>Slicers</a:t>
          </a:r>
          <a:r>
            <a:rPr lang="en-IN" sz="2800" b="1" baseline="0">
              <a:solidFill>
                <a:sysClr val="windowText" lastClr="000000"/>
              </a:solidFill>
            </a:rPr>
            <a:t> Board</a:t>
          </a:r>
          <a:endParaRPr lang="en-IN" sz="2800" b="1">
            <a:solidFill>
              <a:sysClr val="windowText" lastClr="000000"/>
            </a:solidFill>
          </a:endParaRPr>
        </a:p>
      </xdr:txBody>
    </xdr:sp>
    <xdr:clientData/>
  </xdr:twoCellAnchor>
  <xdr:twoCellAnchor>
    <xdr:from>
      <xdr:col>13</xdr:col>
      <xdr:colOff>581297</xdr:colOff>
      <xdr:row>0</xdr:row>
      <xdr:rowOff>55517</xdr:rowOff>
    </xdr:from>
    <xdr:to>
      <xdr:col>37</xdr:col>
      <xdr:colOff>17417</xdr:colOff>
      <xdr:row>1</xdr:row>
      <xdr:rowOff>238397</xdr:rowOff>
    </xdr:to>
    <xdr:sp macro="" textlink="">
      <xdr:nvSpPr>
        <xdr:cNvPr id="44" name="Rectangle 43">
          <a:extLst>
            <a:ext uri="{FF2B5EF4-FFF2-40B4-BE49-F238E27FC236}">
              <a16:creationId xmlns:a16="http://schemas.microsoft.com/office/drawing/2014/main" id="{ACD951B1-2419-2F92-D5B9-EA42B6DF4995}"/>
            </a:ext>
          </a:extLst>
        </xdr:cNvPr>
        <xdr:cNvSpPr/>
      </xdr:nvSpPr>
      <xdr:spPr>
        <a:xfrm>
          <a:off x="8506097" y="55517"/>
          <a:ext cx="14066520" cy="552994"/>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Charts</a:t>
          </a:r>
        </a:p>
      </xdr:txBody>
    </xdr:sp>
    <xdr:clientData/>
  </xdr:twoCellAnchor>
  <xdr:twoCellAnchor>
    <xdr:from>
      <xdr:col>17</xdr:col>
      <xdr:colOff>222068</xdr:colOff>
      <xdr:row>1</xdr:row>
      <xdr:rowOff>348344</xdr:rowOff>
    </xdr:from>
    <xdr:to>
      <xdr:col>21</xdr:col>
      <xdr:colOff>351608</xdr:colOff>
      <xdr:row>3</xdr:row>
      <xdr:rowOff>163286</xdr:rowOff>
    </xdr:to>
    <xdr:sp macro="" textlink="">
      <xdr:nvSpPr>
        <xdr:cNvPr id="9228" name="Text Box 12">
          <a:extLst>
            <a:ext uri="{FF2B5EF4-FFF2-40B4-BE49-F238E27FC236}">
              <a16:creationId xmlns:a16="http://schemas.microsoft.com/office/drawing/2014/main" id="{9B4CDE33-48AE-134B-93C3-983FC9654CC1}"/>
            </a:ext>
          </a:extLst>
        </xdr:cNvPr>
        <xdr:cNvSpPr txBox="1">
          <a:spLocks noChangeArrowheads="1"/>
        </xdr:cNvSpPr>
      </xdr:nvSpPr>
      <xdr:spPr bwMode="auto">
        <a:xfrm>
          <a:off x="10585268" y="718458"/>
          <a:ext cx="2567940" cy="555171"/>
        </a:xfrm>
        <a:prstGeom prst="rect">
          <a:avLst/>
        </a:prstGeom>
        <a:solidFill>
          <a:schemeClr val="accent6">
            <a:lumMod val="20000"/>
            <a:lumOff val="80000"/>
          </a:schemeClr>
        </a:solidFill>
        <a:ln w="9525">
          <a:solidFill>
            <a:srgbClr val="000000"/>
          </a:solidFill>
          <a:miter lim="800000"/>
          <a:headEnd/>
          <a:tailEnd/>
        </a:ln>
      </xdr:spPr>
      <xdr:txBody>
        <a:bodyPr vertOverflow="clip" wrap="square" lIns="36576" tIns="32004" rIns="0" bIns="0" anchor="ctr" upright="1"/>
        <a:lstStyle/>
        <a:p>
          <a:pPr algn="ctr" rtl="0">
            <a:defRPr sz="1000"/>
          </a:pPr>
          <a:r>
            <a:rPr lang="en-IN" sz="2800" b="1" i="0" u="none" strike="noStrike" baseline="0">
              <a:solidFill>
                <a:srgbClr val="000000"/>
              </a:solidFill>
              <a:latin typeface="Calibri"/>
              <a:ea typeface="Calibri"/>
              <a:cs typeface="Calibri"/>
            </a:rPr>
            <a:t>Revenue Trend </a:t>
          </a:r>
        </a:p>
      </xdr:txBody>
    </xdr:sp>
    <xdr:clientData/>
  </xdr:twoCellAnchor>
  <xdr:twoCellAnchor>
    <xdr:from>
      <xdr:col>14</xdr:col>
      <xdr:colOff>48986</xdr:colOff>
      <xdr:row>4</xdr:row>
      <xdr:rowOff>144780</xdr:rowOff>
    </xdr:from>
    <xdr:to>
      <xdr:col>24</xdr:col>
      <xdr:colOff>490946</xdr:colOff>
      <xdr:row>19</xdr:row>
      <xdr:rowOff>141514</xdr:rowOff>
    </xdr:to>
    <xdr:graphicFrame macro="">
      <xdr:nvGraphicFramePr>
        <xdr:cNvPr id="46" name="Chart 45">
          <a:extLst>
            <a:ext uri="{FF2B5EF4-FFF2-40B4-BE49-F238E27FC236}">
              <a16:creationId xmlns:a16="http://schemas.microsoft.com/office/drawing/2014/main" id="{6F87194B-B4FB-42A6-B9F3-BB705B624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485503</xdr:colOff>
      <xdr:row>2</xdr:row>
      <xdr:rowOff>22861</xdr:rowOff>
    </xdr:from>
    <xdr:to>
      <xdr:col>33</xdr:col>
      <xdr:colOff>66403</xdr:colOff>
      <xdr:row>3</xdr:row>
      <xdr:rowOff>169818</xdr:rowOff>
    </xdr:to>
    <xdr:sp macro="" textlink="">
      <xdr:nvSpPr>
        <xdr:cNvPr id="47" name="Rectangle 46">
          <a:extLst>
            <a:ext uri="{FF2B5EF4-FFF2-40B4-BE49-F238E27FC236}">
              <a16:creationId xmlns:a16="http://schemas.microsoft.com/office/drawing/2014/main" id="{7376DB9E-4E3C-FB92-9393-D62C63121B01}"/>
            </a:ext>
          </a:extLst>
        </xdr:cNvPr>
        <xdr:cNvSpPr/>
      </xdr:nvSpPr>
      <xdr:spPr>
        <a:xfrm>
          <a:off x="17554303" y="763090"/>
          <a:ext cx="2628900" cy="517071"/>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ysClr val="windowText" lastClr="000000"/>
              </a:solidFill>
            </a:rPr>
            <a:t>Orders Trend </a:t>
          </a:r>
        </a:p>
      </xdr:txBody>
    </xdr:sp>
    <xdr:clientData/>
  </xdr:twoCellAnchor>
  <xdr:twoCellAnchor>
    <xdr:from>
      <xdr:col>25</xdr:col>
      <xdr:colOff>418011</xdr:colOff>
      <xdr:row>4</xdr:row>
      <xdr:rowOff>79466</xdr:rowOff>
    </xdr:from>
    <xdr:to>
      <xdr:col>36</xdr:col>
      <xdr:colOff>59871</xdr:colOff>
      <xdr:row>19</xdr:row>
      <xdr:rowOff>28303</xdr:rowOff>
    </xdr:to>
    <xdr:graphicFrame macro="">
      <xdr:nvGraphicFramePr>
        <xdr:cNvPr id="48" name="Chart 47">
          <a:extLst>
            <a:ext uri="{FF2B5EF4-FFF2-40B4-BE49-F238E27FC236}">
              <a16:creationId xmlns:a16="http://schemas.microsoft.com/office/drawing/2014/main" id="{FBFBDB45-6CD2-4B56-92FA-A5B63D5DF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162197</xdr:colOff>
      <xdr:row>21</xdr:row>
      <xdr:rowOff>136071</xdr:rowOff>
    </xdr:from>
    <xdr:to>
      <xdr:col>21</xdr:col>
      <xdr:colOff>268877</xdr:colOff>
      <xdr:row>24</xdr:row>
      <xdr:rowOff>158932</xdr:rowOff>
    </xdr:to>
    <xdr:sp macro="" textlink="">
      <xdr:nvSpPr>
        <xdr:cNvPr id="49" name="Rectangle 48">
          <a:extLst>
            <a:ext uri="{FF2B5EF4-FFF2-40B4-BE49-F238E27FC236}">
              <a16:creationId xmlns:a16="http://schemas.microsoft.com/office/drawing/2014/main" id="{13E7694D-C766-DD8C-492B-970225F90D9A}"/>
            </a:ext>
          </a:extLst>
        </xdr:cNvPr>
        <xdr:cNvSpPr/>
      </xdr:nvSpPr>
      <xdr:spPr>
        <a:xfrm>
          <a:off x="10525397" y="4991100"/>
          <a:ext cx="2545080" cy="578032"/>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ysClr val="windowText" lastClr="000000"/>
              </a:solidFill>
            </a:rPr>
            <a:t>Payment Pie </a:t>
          </a:r>
        </a:p>
      </xdr:txBody>
    </xdr:sp>
    <xdr:clientData/>
  </xdr:twoCellAnchor>
  <xdr:twoCellAnchor>
    <xdr:from>
      <xdr:col>28</xdr:col>
      <xdr:colOff>309154</xdr:colOff>
      <xdr:row>21</xdr:row>
      <xdr:rowOff>181791</xdr:rowOff>
    </xdr:from>
    <xdr:to>
      <xdr:col>32</xdr:col>
      <xdr:colOff>415834</xdr:colOff>
      <xdr:row>25</xdr:row>
      <xdr:rowOff>19595</xdr:rowOff>
    </xdr:to>
    <xdr:sp macro="" textlink="">
      <xdr:nvSpPr>
        <xdr:cNvPr id="63" name="Rectangle 62">
          <a:extLst>
            <a:ext uri="{FF2B5EF4-FFF2-40B4-BE49-F238E27FC236}">
              <a16:creationId xmlns:a16="http://schemas.microsoft.com/office/drawing/2014/main" id="{FAFF8C10-E96F-4ECB-B371-C005663DA57C}"/>
            </a:ext>
          </a:extLst>
        </xdr:cNvPr>
        <xdr:cNvSpPr/>
      </xdr:nvSpPr>
      <xdr:spPr>
        <a:xfrm>
          <a:off x="17377954" y="5036820"/>
          <a:ext cx="2545080" cy="578032"/>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ysClr val="windowText" lastClr="000000"/>
              </a:solidFill>
            </a:rPr>
            <a:t>Delivery Pie</a:t>
          </a:r>
        </a:p>
      </xdr:txBody>
    </xdr:sp>
    <xdr:clientData/>
  </xdr:twoCellAnchor>
  <xdr:twoCellAnchor>
    <xdr:from>
      <xdr:col>16</xdr:col>
      <xdr:colOff>223157</xdr:colOff>
      <xdr:row>25</xdr:row>
      <xdr:rowOff>150224</xdr:rowOff>
    </xdr:from>
    <xdr:to>
      <xdr:col>22</xdr:col>
      <xdr:colOff>268877</xdr:colOff>
      <xdr:row>42</xdr:row>
      <xdr:rowOff>18506</xdr:rowOff>
    </xdr:to>
    <xdr:graphicFrame macro="">
      <xdr:nvGraphicFramePr>
        <xdr:cNvPr id="9218" name="Chart 9217">
          <a:extLst>
            <a:ext uri="{FF2B5EF4-FFF2-40B4-BE49-F238E27FC236}">
              <a16:creationId xmlns:a16="http://schemas.microsoft.com/office/drawing/2014/main" id="{5D400681-A80A-4C6D-BA03-D873CC264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354875</xdr:colOff>
      <xdr:row>25</xdr:row>
      <xdr:rowOff>174171</xdr:rowOff>
    </xdr:from>
    <xdr:to>
      <xdr:col>33</xdr:col>
      <xdr:colOff>415835</xdr:colOff>
      <xdr:row>42</xdr:row>
      <xdr:rowOff>57693</xdr:rowOff>
    </xdr:to>
    <xdr:graphicFrame macro="">
      <xdr:nvGraphicFramePr>
        <xdr:cNvPr id="9219" name="Chart 9218">
          <a:extLst>
            <a:ext uri="{FF2B5EF4-FFF2-40B4-BE49-F238E27FC236}">
              <a16:creationId xmlns:a16="http://schemas.microsoft.com/office/drawing/2014/main" id="{967F1E8A-DA28-4DF4-ABF0-592DFB406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67491</xdr:colOff>
      <xdr:row>43</xdr:row>
      <xdr:rowOff>101236</xdr:rowOff>
    </xdr:from>
    <xdr:to>
      <xdr:col>21</xdr:col>
      <xdr:colOff>227511</xdr:colOff>
      <xdr:row>46</xdr:row>
      <xdr:rowOff>51162</xdr:rowOff>
    </xdr:to>
    <xdr:sp macro="" textlink="">
      <xdr:nvSpPr>
        <xdr:cNvPr id="9220" name="Rectangle 9219">
          <a:extLst>
            <a:ext uri="{FF2B5EF4-FFF2-40B4-BE49-F238E27FC236}">
              <a16:creationId xmlns:a16="http://schemas.microsoft.com/office/drawing/2014/main" id="{CC30E972-3307-E106-CC05-2DB15465CB3C}"/>
            </a:ext>
          </a:extLst>
        </xdr:cNvPr>
        <xdr:cNvSpPr/>
      </xdr:nvSpPr>
      <xdr:spPr>
        <a:xfrm>
          <a:off x="10430691" y="9027522"/>
          <a:ext cx="2598420" cy="505097"/>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ysClr val="windowText" lastClr="000000"/>
              </a:solidFill>
            </a:rPr>
            <a:t>Product Bar</a:t>
          </a:r>
        </a:p>
      </xdr:txBody>
    </xdr:sp>
    <xdr:clientData/>
  </xdr:twoCellAnchor>
  <xdr:twoCellAnchor>
    <xdr:from>
      <xdr:col>28</xdr:col>
      <xdr:colOff>446314</xdr:colOff>
      <xdr:row>43</xdr:row>
      <xdr:rowOff>20682</xdr:rowOff>
    </xdr:from>
    <xdr:to>
      <xdr:col>32</xdr:col>
      <xdr:colOff>606334</xdr:colOff>
      <xdr:row>46</xdr:row>
      <xdr:rowOff>1088</xdr:rowOff>
    </xdr:to>
    <xdr:sp macro="" textlink="">
      <xdr:nvSpPr>
        <xdr:cNvPr id="9221" name="Rectangle 9220">
          <a:extLst>
            <a:ext uri="{FF2B5EF4-FFF2-40B4-BE49-F238E27FC236}">
              <a16:creationId xmlns:a16="http://schemas.microsoft.com/office/drawing/2014/main" id="{CAE1FAD2-CE77-4AEE-8181-EC7DD8E9B787}"/>
            </a:ext>
          </a:extLst>
        </xdr:cNvPr>
        <xdr:cNvSpPr/>
      </xdr:nvSpPr>
      <xdr:spPr>
        <a:xfrm>
          <a:off x="17515114" y="8946968"/>
          <a:ext cx="2598420" cy="535577"/>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ysClr val="windowText" lastClr="000000"/>
              </a:solidFill>
            </a:rPr>
            <a:t>City Bar</a:t>
          </a:r>
        </a:p>
      </xdr:txBody>
    </xdr:sp>
    <xdr:clientData/>
  </xdr:twoCellAnchor>
  <xdr:twoCellAnchor>
    <xdr:from>
      <xdr:col>14</xdr:col>
      <xdr:colOff>278674</xdr:colOff>
      <xdr:row>47</xdr:row>
      <xdr:rowOff>21773</xdr:rowOff>
    </xdr:from>
    <xdr:to>
      <xdr:col>24</xdr:col>
      <xdr:colOff>354874</xdr:colOff>
      <xdr:row>66</xdr:row>
      <xdr:rowOff>115390</xdr:rowOff>
    </xdr:to>
    <xdr:graphicFrame macro="">
      <xdr:nvGraphicFramePr>
        <xdr:cNvPr id="9222" name="Chart 9221">
          <a:extLst>
            <a:ext uri="{FF2B5EF4-FFF2-40B4-BE49-F238E27FC236}">
              <a16:creationId xmlns:a16="http://schemas.microsoft.com/office/drawing/2014/main" id="{2B4C35FA-A352-467E-9465-E141254F8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385354</xdr:colOff>
      <xdr:row>46</xdr:row>
      <xdr:rowOff>183969</xdr:rowOff>
    </xdr:from>
    <xdr:to>
      <xdr:col>37</xdr:col>
      <xdr:colOff>11974</xdr:colOff>
      <xdr:row>66</xdr:row>
      <xdr:rowOff>92529</xdr:rowOff>
    </xdr:to>
    <xdr:graphicFrame macro="">
      <xdr:nvGraphicFramePr>
        <xdr:cNvPr id="9223" name="Chart 9222">
          <a:extLst>
            <a:ext uri="{FF2B5EF4-FFF2-40B4-BE49-F238E27FC236}">
              <a16:creationId xmlns:a16="http://schemas.microsoft.com/office/drawing/2014/main" id="{03BB5AE3-60EC-4550-8E28-054E8458D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13061</xdr:colOff>
      <xdr:row>19</xdr:row>
      <xdr:rowOff>60961</xdr:rowOff>
    </xdr:from>
    <xdr:to>
      <xdr:col>14</xdr:col>
      <xdr:colOff>348342</xdr:colOff>
      <xdr:row>40</xdr:row>
      <xdr:rowOff>87086</xdr:rowOff>
    </xdr:to>
    <xdr:sp macro="" textlink="">
      <xdr:nvSpPr>
        <xdr:cNvPr id="9224" name="Rectangle 9223">
          <a:extLst>
            <a:ext uri="{FF2B5EF4-FFF2-40B4-BE49-F238E27FC236}">
              <a16:creationId xmlns:a16="http://schemas.microsoft.com/office/drawing/2014/main" id="{51BAC02D-648C-33F6-B051-C1441E3D3033}"/>
            </a:ext>
          </a:extLst>
        </xdr:cNvPr>
        <xdr:cNvSpPr/>
      </xdr:nvSpPr>
      <xdr:spPr>
        <a:xfrm>
          <a:off x="622661" y="4545875"/>
          <a:ext cx="8260081" cy="3912325"/>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u="sng">
              <a:solidFill>
                <a:sysClr val="windowText" lastClr="000000"/>
              </a:solidFill>
              <a:latin typeface="Arial Black" panose="020B0A04020102020204" pitchFamily="34" charset="0"/>
            </a:rPr>
            <a:t>Key Insights Panel</a:t>
          </a:r>
        </a:p>
        <a:p>
          <a:pPr algn="l"/>
          <a:r>
            <a:rPr lang="en-IN" sz="1800">
              <a:solidFill>
                <a:sysClr val="windowText" lastClr="000000"/>
              </a:solidFill>
              <a:latin typeface="Arial Black" panose="020B0A04020102020204" pitchFamily="34" charset="0"/>
            </a:rPr>
            <a:t>(1) payment success is a critical failure point</a:t>
          </a:r>
        </a:p>
        <a:p>
          <a:pPr algn="l"/>
          <a:endParaRPr lang="en-IN" sz="1800">
            <a:solidFill>
              <a:sysClr val="windowText" lastClr="000000"/>
            </a:solidFill>
            <a:latin typeface="Arial Black" panose="020B0A04020102020204" pitchFamily="34" charset="0"/>
          </a:endParaRPr>
        </a:p>
        <a:p>
          <a:pPr algn="l"/>
          <a:r>
            <a:rPr lang="en-IN" sz="1800">
              <a:solidFill>
                <a:sysClr val="windowText" lastClr="000000"/>
              </a:solidFill>
              <a:latin typeface="Arial Black" panose="020B0A04020102020204" pitchFamily="34" charset="0"/>
            </a:rPr>
            <a:t>(2) delivery success is trending downward year-on-year</a:t>
          </a:r>
        </a:p>
        <a:p>
          <a:pPr algn="l"/>
          <a:endParaRPr lang="en-IN" sz="1800">
            <a:solidFill>
              <a:sysClr val="windowText" lastClr="000000"/>
            </a:solidFill>
            <a:latin typeface="Arial Black" panose="020B0A04020102020204" pitchFamily="34" charset="0"/>
          </a:endParaRPr>
        </a:p>
        <a:p>
          <a:pPr algn="l"/>
          <a:r>
            <a:rPr lang="en-IN" sz="1800">
              <a:solidFill>
                <a:sysClr val="windowText" lastClr="000000"/>
              </a:solidFill>
              <a:latin typeface="Arial Black" panose="020B0A04020102020204" pitchFamily="34" charset="0"/>
            </a:rPr>
            <a:t>(3) AOV is flat and not growing</a:t>
          </a:r>
        </a:p>
        <a:p>
          <a:pPr algn="l"/>
          <a:endParaRPr lang="en-IN" sz="1800">
            <a:solidFill>
              <a:sysClr val="windowText" lastClr="000000"/>
            </a:solidFill>
            <a:latin typeface="Arial Black" panose="020B0A04020102020204" pitchFamily="34" charset="0"/>
          </a:endParaRPr>
        </a:p>
        <a:p>
          <a:pPr algn="l"/>
          <a:r>
            <a:rPr lang="en-IN" sz="1800">
              <a:solidFill>
                <a:sysClr val="windowText" lastClr="000000"/>
              </a:solidFill>
              <a:latin typeface="Arial Black" panose="020B0A04020102020204" pitchFamily="34" charset="0"/>
            </a:rPr>
            <a:t>(4) Smartwatches and Bangalore are your strongest performers</a:t>
          </a:r>
        </a:p>
        <a:p>
          <a:pPr algn="l"/>
          <a:endParaRPr lang="en-IN" sz="1800">
            <a:solidFill>
              <a:sysClr val="windowText" lastClr="000000"/>
            </a:solidFill>
            <a:latin typeface="Arial Black" panose="020B0A04020102020204" pitchFamily="34" charset="0"/>
          </a:endParaRPr>
        </a:p>
        <a:p>
          <a:pPr algn="l"/>
          <a:r>
            <a:rPr lang="en-IN" sz="1800">
              <a:solidFill>
                <a:sysClr val="windowText" lastClr="000000"/>
              </a:solidFill>
              <a:latin typeface="Arial Black" panose="020B0A04020102020204" pitchFamily="34" charset="0"/>
            </a:rPr>
            <a:t>(5) the Pending payment category is hiding how bad the real payment problem is.</a:t>
          </a:r>
          <a:endParaRPr lang="en-IN" sz="1800" b="1">
            <a:solidFill>
              <a:sysClr val="windowText" lastClr="000000"/>
            </a:solidFill>
            <a:latin typeface="Arial Black" panose="020B0A04020102020204" pitchFamily="34" charset="0"/>
          </a:endParaRPr>
        </a:p>
        <a:p>
          <a:pPr algn="l"/>
          <a:endParaRPr lang="en-IN" sz="1400" b="1">
            <a:solidFill>
              <a:sysClr val="windowText" lastClr="000000"/>
            </a:solidFill>
            <a:latin typeface="Arial Black" panose="020B0A040201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0</xdr:col>
          <xdr:colOff>239486</xdr:colOff>
          <xdr:row>1</xdr:row>
          <xdr:rowOff>94705</xdr:rowOff>
        </xdr:from>
        <xdr:to>
          <xdr:col>7</xdr:col>
          <xdr:colOff>591094</xdr:colOff>
          <xdr:row>10</xdr:row>
          <xdr:rowOff>174172</xdr:rowOff>
        </xdr:to>
        <xdr:pic>
          <xdr:nvPicPr>
            <xdr:cNvPr id="9226" name="Picture 9225">
              <a:extLst>
                <a:ext uri="{FF2B5EF4-FFF2-40B4-BE49-F238E27FC236}">
                  <a16:creationId xmlns:a16="http://schemas.microsoft.com/office/drawing/2014/main" id="{D629E968-233A-94D3-C7CC-DD21DDE9F9BE}"/>
                </a:ext>
              </a:extLst>
            </xdr:cNvPr>
            <xdr:cNvPicPr>
              <a:picLocks noChangeAspect="1" noChangeArrowheads="1"/>
              <a:extLst>
                <a:ext uri="{84589F7E-364E-4C9E-8A38-B11213B215E9}">
                  <a14:cameraTool cellRange="Orders!$M$21:$N$26" spid="_x0000_s9245"/>
                </a:ext>
              </a:extLst>
            </xdr:cNvPicPr>
          </xdr:nvPicPr>
          <xdr:blipFill>
            <a:blip xmlns:r="http://schemas.openxmlformats.org/officeDocument/2006/relationships" r:embed="rId7"/>
            <a:srcRect/>
            <a:stretch>
              <a:fillRect/>
            </a:stretch>
          </xdr:blipFill>
          <xdr:spPr bwMode="auto">
            <a:xfrm>
              <a:off x="239486" y="464819"/>
              <a:ext cx="4618808" cy="248521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nab Paul" refreshedDate="46129.609444212962" createdVersion="8" refreshedVersion="8" minRefreshableVersion="3" recordCount="244" xr:uid="{ADAC5380-9737-4B28-B7D9-EEF4F2445153}">
  <cacheSource type="worksheet">
    <worksheetSource name="Table2"/>
  </cacheSource>
  <cacheFields count="10">
    <cacheField name="Full Name" numFmtId="0">
      <sharedItems/>
    </cacheField>
    <cacheField name="order I'D" numFmtId="0">
      <sharedItems/>
    </cacheField>
    <cacheField name="Purchase Year" numFmtId="0">
      <sharedItems containsSemiMixedTypes="0" containsString="0" containsNumber="1" containsInteger="1" minValue="2014" maxValue="2024" count="11">
        <n v="2014"/>
        <n v="2015"/>
        <n v="2016"/>
        <n v="2017"/>
        <n v="2018"/>
        <n v="2019"/>
        <n v="2020"/>
        <n v="2021"/>
        <n v="2022"/>
        <n v="2023"/>
        <n v="2024"/>
      </sharedItems>
    </cacheField>
    <cacheField name="Purchase Month" numFmtId="0">
      <sharedItems containsSemiMixedTypes="0" containsString="0" containsNumber="1" containsInteger="1" minValue="1" maxValue="12" count="12">
        <n v="8"/>
        <n v="9"/>
        <n v="10"/>
        <n v="11"/>
        <n v="1"/>
        <n v="2"/>
        <n v="3"/>
        <n v="6"/>
        <n v="7"/>
        <n v="4"/>
        <n v="5"/>
        <n v="12"/>
      </sharedItems>
    </cacheField>
    <cacheField name="Purchase Date" numFmtId="164">
      <sharedItems containsSemiMixedTypes="0" containsNonDate="0" containsDate="1" containsString="0" minDate="2014-08-17T00:00:00" maxDate="2024-06-28T00:00:00"/>
    </cacheField>
    <cacheField name="Product Purchased" numFmtId="0">
      <sharedItems count="10">
        <s v="Mouse"/>
        <s v="Laptop"/>
        <s v="Tablet"/>
        <s v="Monitor"/>
        <s v="Smartwatch"/>
        <s v="Keyboard"/>
        <s v="Headphones"/>
        <s v="Printer"/>
        <s v="Smartphone"/>
        <s v="Camera"/>
      </sharedItems>
    </cacheField>
    <cacheField name="Amount Paid" numFmtId="165">
      <sharedItems containsSemiMixedTypes="0" containsString="0" containsNumber="1" minValue="71.400000000000006" maxValue="1974"/>
    </cacheField>
    <cacheField name="Payment Status" numFmtId="0">
      <sharedItems count="3">
        <s v="Paid"/>
        <s v="Pending"/>
        <s v="Failed"/>
      </sharedItems>
    </cacheField>
    <cacheField name="City" numFmtId="0">
      <sharedItems count="10">
        <s v="Mumbai"/>
        <s v="Pune"/>
        <s v="Bangalore"/>
        <s v="Chennai"/>
        <s v="Ahmedabad"/>
        <s v="Hyderabad"/>
        <s v="Surat"/>
        <s v="Kolkata"/>
        <s v="Jaipur"/>
        <s v="Delhi"/>
      </sharedItems>
    </cacheField>
    <cacheField name="Delivery Status" numFmtId="0">
      <sharedItems count="3">
        <s v="Delivered"/>
        <s v="InTransit"/>
        <s v="Cancelled"/>
      </sharedItems>
    </cacheField>
  </cacheFields>
  <extLst>
    <ext xmlns:x14="http://schemas.microsoft.com/office/spreadsheetml/2009/9/main" uri="{725AE2AE-9491-48be-B2B4-4EB974FC3084}">
      <x14:pivotCacheDefinition pivotCacheId="20780332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4">
  <r>
    <s v="Kiara Kuruvilla"/>
    <s v="CA-2013-124254"/>
    <x v="0"/>
    <x v="0"/>
    <d v="2014-08-17T00:00:00"/>
    <x v="0"/>
    <n v="1320.34"/>
    <x v="0"/>
    <x v="0"/>
    <x v="0"/>
  </r>
  <r>
    <s v="Rahul Gupta"/>
    <s v="CA-2011-100706"/>
    <x v="0"/>
    <x v="1"/>
    <d v="2014-09-06T00:00:00"/>
    <x v="1"/>
    <n v="738.76"/>
    <x v="1"/>
    <x v="1"/>
    <x v="1"/>
  </r>
  <r>
    <s v="Armaan Mander"/>
    <s v="CA-2014-117198"/>
    <x v="0"/>
    <x v="1"/>
    <d v="2014-09-06T00:00:00"/>
    <x v="2"/>
    <n v="825.71"/>
    <x v="1"/>
    <x v="2"/>
    <x v="0"/>
  </r>
  <r>
    <s v="Kabir Sampath"/>
    <s v="CA-2012-151624"/>
    <x v="0"/>
    <x v="1"/>
    <d v="2014-09-07T00:00:00"/>
    <x v="3"/>
    <n v="668.37"/>
    <x v="1"/>
    <x v="0"/>
    <x v="2"/>
  </r>
  <r>
    <s v="Aradhya Bhardwaj"/>
    <s v="CA-2013-102092"/>
    <x v="0"/>
    <x v="2"/>
    <d v="2014-10-05T00:00:00"/>
    <x v="2"/>
    <n v="510.37"/>
    <x v="1"/>
    <x v="3"/>
    <x v="1"/>
  </r>
  <r>
    <s v="Arhaan Magar"/>
    <s v="CA-2014-117079"/>
    <x v="0"/>
    <x v="3"/>
    <d v="2014-11-20T00:00:00"/>
    <x v="4"/>
    <n v="76.31"/>
    <x v="0"/>
    <x v="4"/>
    <x v="2"/>
  </r>
  <r>
    <s v="Yakshit Grewal"/>
    <s v="CA-2013-159765"/>
    <x v="0"/>
    <x v="3"/>
    <d v="2014-11-26T00:00:00"/>
    <x v="2"/>
    <n v="521.66"/>
    <x v="0"/>
    <x v="5"/>
    <x v="0"/>
  </r>
  <r>
    <s v="Jayesh Vaidya"/>
    <s v="CA-2014-110310"/>
    <x v="1"/>
    <x v="4"/>
    <d v="2015-01-18T00:00:00"/>
    <x v="2"/>
    <n v="420.84"/>
    <x v="0"/>
    <x v="2"/>
    <x v="0"/>
  </r>
  <r>
    <s v="Aayush Khatri"/>
    <s v="CA-2013-166485"/>
    <x v="1"/>
    <x v="5"/>
    <d v="2015-02-02T00:00:00"/>
    <x v="2"/>
    <n v="1103.28"/>
    <x v="0"/>
    <x v="3"/>
    <x v="1"/>
  </r>
  <r>
    <s v="Rohan Rana"/>
    <s v="CA-2012-108119"/>
    <x v="1"/>
    <x v="5"/>
    <d v="2015-02-15T00:00:00"/>
    <x v="1"/>
    <n v="601.53"/>
    <x v="2"/>
    <x v="6"/>
    <x v="2"/>
  </r>
  <r>
    <s v="Rohan Sane"/>
    <s v="CA-2012-161445"/>
    <x v="1"/>
    <x v="6"/>
    <d v="2015-03-08T00:00:00"/>
    <x v="4"/>
    <n v="130.07"/>
    <x v="2"/>
    <x v="1"/>
    <x v="0"/>
  </r>
  <r>
    <s v="Anvi Deol"/>
    <s v="CA-2013-143805"/>
    <x v="1"/>
    <x v="7"/>
    <d v="2015-06-15T00:00:00"/>
    <x v="5"/>
    <n v="1726.07"/>
    <x v="0"/>
    <x v="7"/>
    <x v="0"/>
  </r>
  <r>
    <s v="Rati Kapur"/>
    <s v="CA-2013-144344"/>
    <x v="1"/>
    <x v="7"/>
    <d v="2015-06-16T00:00:00"/>
    <x v="4"/>
    <n v="1510.37"/>
    <x v="1"/>
    <x v="5"/>
    <x v="0"/>
  </r>
  <r>
    <s v="Rhea Edwin"/>
    <s v="CA-2014-113481"/>
    <x v="1"/>
    <x v="7"/>
    <d v="2015-06-25T00:00:00"/>
    <x v="1"/>
    <n v="1305.5899999999999"/>
    <x v="0"/>
    <x v="0"/>
    <x v="2"/>
  </r>
  <r>
    <s v="Tara Master"/>
    <s v="CA-2012-153752"/>
    <x v="1"/>
    <x v="8"/>
    <d v="2015-07-04T00:00:00"/>
    <x v="4"/>
    <n v="347.05"/>
    <x v="0"/>
    <x v="5"/>
    <x v="0"/>
  </r>
  <r>
    <s v="Taimur Gour"/>
    <s v="CA-2012-154291"/>
    <x v="1"/>
    <x v="8"/>
    <d v="2015-07-05T00:00:00"/>
    <x v="4"/>
    <n v="1201.47"/>
    <x v="0"/>
    <x v="3"/>
    <x v="1"/>
  </r>
  <r>
    <s v="Mehul Rana"/>
    <s v="CA-2012-155453"/>
    <x v="1"/>
    <x v="8"/>
    <d v="2015-07-05T00:00:00"/>
    <x v="3"/>
    <n v="1066.98"/>
    <x v="0"/>
    <x v="8"/>
    <x v="0"/>
  </r>
  <r>
    <s v="Damini Divan"/>
    <s v="CA-2011-111500"/>
    <x v="1"/>
    <x v="8"/>
    <d v="2015-07-12T00:00:00"/>
    <x v="1"/>
    <n v="1556.99"/>
    <x v="1"/>
    <x v="8"/>
    <x v="2"/>
  </r>
  <r>
    <s v="Saksham Buch"/>
    <s v="CA-2013-152156"/>
    <x v="1"/>
    <x v="0"/>
    <d v="2015-08-11T00:00:00"/>
    <x v="6"/>
    <n v="774.69"/>
    <x v="0"/>
    <x v="6"/>
    <x v="0"/>
  </r>
  <r>
    <s v="Ranbir Agarwal"/>
    <s v="CA-2013-121020"/>
    <x v="1"/>
    <x v="1"/>
    <d v="2015-09-15T00:00:00"/>
    <x v="6"/>
    <n v="1870.18"/>
    <x v="2"/>
    <x v="0"/>
    <x v="0"/>
  </r>
  <r>
    <s v="Jivin Bath"/>
    <s v="CA-2012-110947"/>
    <x v="1"/>
    <x v="2"/>
    <d v="2015-10-31T00:00:00"/>
    <x v="1"/>
    <n v="1934.91"/>
    <x v="0"/>
    <x v="2"/>
    <x v="1"/>
  </r>
  <r>
    <s v="Yakshit Subramanian"/>
    <s v="CA-2012-111199"/>
    <x v="1"/>
    <x v="3"/>
    <d v="2015-11-01T00:00:00"/>
    <x v="5"/>
    <n v="585.80999999999995"/>
    <x v="2"/>
    <x v="3"/>
    <x v="2"/>
  </r>
  <r>
    <s v="Mannat Dugar"/>
    <s v="CA-2013-169026"/>
    <x v="1"/>
    <x v="3"/>
    <d v="2015-11-20T00:00:00"/>
    <x v="5"/>
    <n v="455.9"/>
    <x v="1"/>
    <x v="7"/>
    <x v="2"/>
  </r>
  <r>
    <s v="Ahana Mannan"/>
    <s v="CA-2012-153325"/>
    <x v="2"/>
    <x v="4"/>
    <d v="2016-01-24T00:00:00"/>
    <x v="7"/>
    <n v="1923.17"/>
    <x v="0"/>
    <x v="7"/>
    <x v="0"/>
  </r>
  <r>
    <s v="Sara Butala"/>
    <s v="CA-2013-159212"/>
    <x v="2"/>
    <x v="4"/>
    <d v="2016-01-26T00:00:00"/>
    <x v="3"/>
    <n v="970.54"/>
    <x v="2"/>
    <x v="7"/>
    <x v="0"/>
  </r>
  <r>
    <s v="Vardaniya Chad"/>
    <s v="CA-2014-108287"/>
    <x v="2"/>
    <x v="4"/>
    <d v="2016-01-31T00:00:00"/>
    <x v="0"/>
    <n v="1021.11"/>
    <x v="1"/>
    <x v="7"/>
    <x v="0"/>
  </r>
  <r>
    <s v="Gatik Gera"/>
    <s v="CA-2013-159989"/>
    <x v="2"/>
    <x v="5"/>
    <d v="2016-02-28T00:00:00"/>
    <x v="8"/>
    <n v="342.66"/>
    <x v="2"/>
    <x v="2"/>
    <x v="0"/>
  </r>
  <r>
    <s v="Nehmat Pal"/>
    <s v="CA-2011-102673"/>
    <x v="2"/>
    <x v="9"/>
    <d v="2016-04-22T00:00:00"/>
    <x v="4"/>
    <n v="267.58"/>
    <x v="1"/>
    <x v="5"/>
    <x v="1"/>
  </r>
  <r>
    <s v="Kavya Krish"/>
    <s v="CA-2011-128839"/>
    <x v="2"/>
    <x v="9"/>
    <d v="2016-04-27T00:00:00"/>
    <x v="6"/>
    <n v="1233.43"/>
    <x v="1"/>
    <x v="7"/>
    <x v="1"/>
  </r>
  <r>
    <s v="Himmat Dhar"/>
    <s v="CA-2011-128846"/>
    <x v="2"/>
    <x v="9"/>
    <d v="2016-04-28T00:00:00"/>
    <x v="5"/>
    <n v="1950.8"/>
    <x v="1"/>
    <x v="3"/>
    <x v="1"/>
  </r>
  <r>
    <s v="Yuvraj Sodhi"/>
    <s v="CA-2012-121720"/>
    <x v="2"/>
    <x v="10"/>
    <d v="2016-05-24T00:00:00"/>
    <x v="5"/>
    <n v="1185.3699999999999"/>
    <x v="1"/>
    <x v="2"/>
    <x v="2"/>
  </r>
  <r>
    <s v="Nitya Kapadia"/>
    <s v="CA-2013-106558"/>
    <x v="2"/>
    <x v="10"/>
    <d v="2016-05-29T00:00:00"/>
    <x v="2"/>
    <n v="1904.73"/>
    <x v="1"/>
    <x v="1"/>
    <x v="1"/>
  </r>
  <r>
    <s v="Kanav Tailor"/>
    <s v="CA-2011-156244"/>
    <x v="2"/>
    <x v="7"/>
    <d v="2016-06-17T00:00:00"/>
    <x v="8"/>
    <n v="729.46"/>
    <x v="1"/>
    <x v="8"/>
    <x v="1"/>
  </r>
  <r>
    <s v="Chirag Sodhi"/>
    <s v="CA-2012-134719"/>
    <x v="2"/>
    <x v="7"/>
    <d v="2016-06-28T00:00:00"/>
    <x v="0"/>
    <n v="296.02999999999997"/>
    <x v="2"/>
    <x v="4"/>
    <x v="0"/>
  </r>
  <r>
    <s v="Nehmat Ramaswamy"/>
    <s v="CA-2013-115504"/>
    <x v="2"/>
    <x v="0"/>
    <d v="2016-08-04T00:00:00"/>
    <x v="1"/>
    <n v="1911.79"/>
    <x v="2"/>
    <x v="2"/>
    <x v="0"/>
  </r>
  <r>
    <s v="Ishaan Chand"/>
    <s v="CA-2013-112697"/>
    <x v="2"/>
    <x v="0"/>
    <d v="2016-08-18T00:00:00"/>
    <x v="4"/>
    <n v="1795.47"/>
    <x v="0"/>
    <x v="9"/>
    <x v="0"/>
  </r>
  <r>
    <s v="Darshit Suresh"/>
    <s v="CA-2014-104731"/>
    <x v="2"/>
    <x v="1"/>
    <d v="2016-09-07T00:00:00"/>
    <x v="6"/>
    <n v="709.01"/>
    <x v="1"/>
    <x v="0"/>
    <x v="2"/>
  </r>
  <r>
    <s v="Vaibhav Samra"/>
    <s v="CA-2011-124688"/>
    <x v="2"/>
    <x v="1"/>
    <d v="2016-09-18T00:00:00"/>
    <x v="9"/>
    <n v="230.71"/>
    <x v="2"/>
    <x v="1"/>
    <x v="1"/>
  </r>
  <r>
    <s v="Gatik Kari"/>
    <s v="CA-2014-113558"/>
    <x v="2"/>
    <x v="3"/>
    <d v="2016-11-26T00:00:00"/>
    <x v="3"/>
    <n v="1174.22"/>
    <x v="0"/>
    <x v="2"/>
    <x v="0"/>
  </r>
  <r>
    <s v="Bhavin Som"/>
    <s v="CA-2012-134782"/>
    <x v="2"/>
    <x v="11"/>
    <d v="2016-12-04T00:00:00"/>
    <x v="7"/>
    <n v="1311.96"/>
    <x v="0"/>
    <x v="8"/>
    <x v="0"/>
  </r>
  <r>
    <s v="Biju Ramesh"/>
    <s v="CA-2012-140830"/>
    <x v="2"/>
    <x v="11"/>
    <d v="2016-12-04T00:00:00"/>
    <x v="7"/>
    <n v="761.49"/>
    <x v="1"/>
    <x v="7"/>
    <x v="0"/>
  </r>
  <r>
    <s v="Neysa Tandon"/>
    <s v="CA-2012-134894"/>
    <x v="2"/>
    <x v="11"/>
    <d v="2016-12-05T00:00:00"/>
    <x v="8"/>
    <n v="691.42"/>
    <x v="2"/>
    <x v="6"/>
    <x v="0"/>
  </r>
  <r>
    <s v="Aarush Lad"/>
    <s v="CA-2013-165827"/>
    <x v="2"/>
    <x v="11"/>
    <d v="2016-12-22T00:00:00"/>
    <x v="4"/>
    <n v="855.13"/>
    <x v="0"/>
    <x v="2"/>
    <x v="0"/>
  </r>
  <r>
    <s v="Divit Bajaj"/>
    <s v="CA-2012-119634"/>
    <x v="3"/>
    <x v="4"/>
    <d v="2017-01-23T00:00:00"/>
    <x v="3"/>
    <n v="1400.09"/>
    <x v="2"/>
    <x v="1"/>
    <x v="1"/>
  </r>
  <r>
    <s v="Anika Ravel"/>
    <s v="CA-2014-124597"/>
    <x v="3"/>
    <x v="4"/>
    <d v="2017-01-25T00:00:00"/>
    <x v="6"/>
    <n v="1740.47"/>
    <x v="0"/>
    <x v="3"/>
    <x v="2"/>
  </r>
  <r>
    <s v="Jiya Biswas"/>
    <s v="CA-2011-164749"/>
    <x v="3"/>
    <x v="5"/>
    <d v="2017-02-11T00:00:00"/>
    <x v="4"/>
    <n v="1438.28"/>
    <x v="1"/>
    <x v="3"/>
    <x v="2"/>
  </r>
  <r>
    <s v="Indrans Bassi"/>
    <s v="CA-2011-164910"/>
    <x v="3"/>
    <x v="5"/>
    <d v="2017-02-12T00:00:00"/>
    <x v="4"/>
    <n v="615.67999999999995"/>
    <x v="1"/>
    <x v="4"/>
    <x v="1"/>
  </r>
  <r>
    <s v="Kabir Zacharia"/>
    <s v="CA-2012-148705"/>
    <x v="3"/>
    <x v="6"/>
    <d v="2017-03-16T00:00:00"/>
    <x v="1"/>
    <n v="645.30999999999995"/>
    <x v="1"/>
    <x v="5"/>
    <x v="1"/>
  </r>
  <r>
    <s v="Vardaniya Chad"/>
    <s v="CA-2014-123239"/>
    <x v="3"/>
    <x v="6"/>
    <d v="2017-03-29T00:00:00"/>
    <x v="3"/>
    <n v="416.26"/>
    <x v="1"/>
    <x v="4"/>
    <x v="2"/>
  </r>
  <r>
    <s v="Zeeshan Badal"/>
    <s v="CA-2011-120768"/>
    <x v="3"/>
    <x v="9"/>
    <d v="2017-04-06T00:00:00"/>
    <x v="5"/>
    <n v="481.79"/>
    <x v="2"/>
    <x v="5"/>
    <x v="2"/>
  </r>
  <r>
    <s v="Zara Thaman"/>
    <s v="CA-2014-109589"/>
    <x v="3"/>
    <x v="9"/>
    <d v="2017-04-16T00:00:00"/>
    <x v="7"/>
    <n v="1415.47"/>
    <x v="1"/>
    <x v="7"/>
    <x v="1"/>
  </r>
  <r>
    <s v="Jhanvi Ranganathan"/>
    <s v="CA-2014-121804"/>
    <x v="3"/>
    <x v="9"/>
    <d v="2017-04-28T00:00:00"/>
    <x v="7"/>
    <n v="395.5"/>
    <x v="1"/>
    <x v="5"/>
    <x v="0"/>
  </r>
  <r>
    <s v="Aaryahi Veg"/>
    <s v="CA-2011-102988"/>
    <x v="3"/>
    <x v="10"/>
    <d v="2017-05-02T00:00:00"/>
    <x v="5"/>
    <n v="1323.02"/>
    <x v="2"/>
    <x v="0"/>
    <x v="2"/>
  </r>
  <r>
    <s v="Jhanvi Mani"/>
    <s v="CA-2014-121314"/>
    <x v="3"/>
    <x v="10"/>
    <d v="2017-05-03T00:00:00"/>
    <x v="1"/>
    <n v="1472.94"/>
    <x v="0"/>
    <x v="5"/>
    <x v="1"/>
  </r>
  <r>
    <s v="Ishaan Bhasin"/>
    <s v="CA-2012-128083"/>
    <x v="3"/>
    <x v="10"/>
    <d v="2017-05-16T00:00:00"/>
    <x v="0"/>
    <n v="1974"/>
    <x v="2"/>
    <x v="1"/>
    <x v="0"/>
  </r>
  <r>
    <s v="Inaaya Divan"/>
    <s v="CA-2012-115938"/>
    <x v="3"/>
    <x v="7"/>
    <d v="2017-06-14T00:00:00"/>
    <x v="8"/>
    <n v="1777.38"/>
    <x v="0"/>
    <x v="7"/>
    <x v="2"/>
  </r>
  <r>
    <s v="Ahana Sabharwal"/>
    <s v="CA-2012-131422"/>
    <x v="3"/>
    <x v="7"/>
    <d v="2017-06-23T00:00:00"/>
    <x v="7"/>
    <n v="1165.18"/>
    <x v="1"/>
    <x v="9"/>
    <x v="2"/>
  </r>
  <r>
    <s v="Anahi Biswas"/>
    <s v="CA-2013-157364"/>
    <x v="3"/>
    <x v="7"/>
    <d v="2017-06-23T00:00:00"/>
    <x v="1"/>
    <n v="268.52"/>
    <x v="2"/>
    <x v="1"/>
    <x v="1"/>
  </r>
  <r>
    <s v="Ishita Gera"/>
    <s v="CA-2012-143532"/>
    <x v="3"/>
    <x v="7"/>
    <d v="2017-06-25T00:00:00"/>
    <x v="7"/>
    <n v="230.73"/>
    <x v="1"/>
    <x v="9"/>
    <x v="1"/>
  </r>
  <r>
    <s v="Samar Kaul"/>
    <s v="CA-2013-130820"/>
    <x v="3"/>
    <x v="7"/>
    <d v="2017-06-26T00:00:00"/>
    <x v="5"/>
    <n v="538.49"/>
    <x v="2"/>
    <x v="8"/>
    <x v="1"/>
  </r>
  <r>
    <s v="Stuvan Sampath"/>
    <s v="CA-2012-150560"/>
    <x v="3"/>
    <x v="8"/>
    <d v="2017-07-05T00:00:00"/>
    <x v="0"/>
    <n v="1553.23"/>
    <x v="2"/>
    <x v="0"/>
    <x v="0"/>
  </r>
  <r>
    <s v="Abram Lata"/>
    <s v="CA-2013-135636"/>
    <x v="3"/>
    <x v="8"/>
    <d v="2017-07-09T00:00:00"/>
    <x v="8"/>
    <n v="1592.34"/>
    <x v="1"/>
    <x v="6"/>
    <x v="0"/>
  </r>
  <r>
    <s v="Sumer Sangha"/>
    <s v="CA-2011-154158"/>
    <x v="3"/>
    <x v="8"/>
    <d v="2017-07-22T00:00:00"/>
    <x v="5"/>
    <n v="1907.83"/>
    <x v="1"/>
    <x v="4"/>
    <x v="1"/>
  </r>
  <r>
    <s v="Yuvaan Shah"/>
    <s v="CA-2013-111409"/>
    <x v="3"/>
    <x v="1"/>
    <d v="2017-09-18T00:00:00"/>
    <x v="4"/>
    <n v="380.85"/>
    <x v="2"/>
    <x v="2"/>
    <x v="1"/>
  </r>
  <r>
    <s v="Faiyaz Gaba"/>
    <s v="CA-2013-111605"/>
    <x v="3"/>
    <x v="1"/>
    <d v="2017-09-19T00:00:00"/>
    <x v="4"/>
    <n v="198.56"/>
    <x v="2"/>
    <x v="0"/>
    <x v="2"/>
  </r>
  <r>
    <s v="Stuvan Thaker"/>
    <s v="CA-2012-169572"/>
    <x v="3"/>
    <x v="2"/>
    <d v="2017-10-01T00:00:00"/>
    <x v="0"/>
    <n v="221.56"/>
    <x v="2"/>
    <x v="5"/>
    <x v="2"/>
  </r>
  <r>
    <s v="Tarini Brar"/>
    <s v="CA-2014-119669"/>
    <x v="3"/>
    <x v="2"/>
    <d v="2017-10-08T00:00:00"/>
    <x v="9"/>
    <n v="242.89"/>
    <x v="0"/>
    <x v="8"/>
    <x v="1"/>
  </r>
  <r>
    <s v="Akarsh Srivastava"/>
    <s v="CA-2013-130001"/>
    <x v="3"/>
    <x v="2"/>
    <d v="2017-10-15T00:00:00"/>
    <x v="4"/>
    <n v="321.29000000000002"/>
    <x v="1"/>
    <x v="6"/>
    <x v="0"/>
  </r>
  <r>
    <s v="Romil Srinivasan"/>
    <s v="CA-2011-134551"/>
    <x v="3"/>
    <x v="2"/>
    <d v="2017-10-24T00:00:00"/>
    <x v="2"/>
    <n v="663.46"/>
    <x v="2"/>
    <x v="5"/>
    <x v="0"/>
  </r>
  <r>
    <s v="Damini Bora"/>
    <s v="CA-2012-109708"/>
    <x v="3"/>
    <x v="2"/>
    <d v="2017-10-31T00:00:00"/>
    <x v="7"/>
    <n v="93.84"/>
    <x v="1"/>
    <x v="1"/>
    <x v="1"/>
  </r>
  <r>
    <s v="Shaan Lata"/>
    <s v="CA-2012-122168"/>
    <x v="3"/>
    <x v="3"/>
    <d v="2017-11-22T00:00:00"/>
    <x v="9"/>
    <n v="1800.11"/>
    <x v="1"/>
    <x v="3"/>
    <x v="0"/>
  </r>
  <r>
    <s v="Zara Thaman"/>
    <s v="CA-2014-124296"/>
    <x v="3"/>
    <x v="11"/>
    <d v="2017-12-06T00:00:00"/>
    <x v="0"/>
    <n v="1477.06"/>
    <x v="1"/>
    <x v="3"/>
    <x v="1"/>
  </r>
  <r>
    <s v="Manikya Randhawa"/>
    <s v="CA-2012-166975"/>
    <x v="3"/>
    <x v="11"/>
    <d v="2017-12-19T00:00:00"/>
    <x v="6"/>
    <n v="674.37"/>
    <x v="0"/>
    <x v="2"/>
    <x v="2"/>
  </r>
  <r>
    <s v="Ayesha Trivedi"/>
    <s v="CA-2012-163923"/>
    <x v="3"/>
    <x v="11"/>
    <d v="2017-12-20T00:00:00"/>
    <x v="6"/>
    <n v="1918.59"/>
    <x v="2"/>
    <x v="6"/>
    <x v="2"/>
  </r>
  <r>
    <s v="Nitya Shan"/>
    <s v="CA-2011-133634"/>
    <x v="3"/>
    <x v="11"/>
    <d v="2017-12-26T00:00:00"/>
    <x v="8"/>
    <n v="1932.32"/>
    <x v="2"/>
    <x v="4"/>
    <x v="1"/>
  </r>
  <r>
    <s v="Lavanya Din"/>
    <s v="CA-2013-165470"/>
    <x v="4"/>
    <x v="4"/>
    <d v="2018-01-22T00:00:00"/>
    <x v="1"/>
    <n v="652.52"/>
    <x v="2"/>
    <x v="0"/>
    <x v="0"/>
  </r>
  <r>
    <s v="Inaaya Golla"/>
    <s v="CA-2013-139689"/>
    <x v="4"/>
    <x v="5"/>
    <d v="2018-02-22T00:00:00"/>
    <x v="4"/>
    <n v="1096.1600000000001"/>
    <x v="1"/>
    <x v="0"/>
    <x v="1"/>
  </r>
  <r>
    <s v="Madhav Jha"/>
    <s v="CA-2012-136147"/>
    <x v="4"/>
    <x v="5"/>
    <d v="2018-02-23T00:00:00"/>
    <x v="1"/>
    <n v="425.99"/>
    <x v="1"/>
    <x v="7"/>
    <x v="0"/>
  </r>
  <r>
    <s v="Reyansh Chada"/>
    <s v="CA-2013-117604"/>
    <x v="4"/>
    <x v="5"/>
    <d v="2018-02-25T00:00:00"/>
    <x v="4"/>
    <n v="1094.8399999999999"/>
    <x v="2"/>
    <x v="6"/>
    <x v="2"/>
  </r>
  <r>
    <s v="Shaan Dey"/>
    <s v="CA-2011-152268"/>
    <x v="4"/>
    <x v="6"/>
    <d v="2018-03-24T00:00:00"/>
    <x v="1"/>
    <n v="1662.67"/>
    <x v="2"/>
    <x v="3"/>
    <x v="1"/>
  </r>
  <r>
    <s v="Badal Manda"/>
    <s v="CA-2013-155670"/>
    <x v="4"/>
    <x v="10"/>
    <d v="2018-05-06T00:00:00"/>
    <x v="0"/>
    <n v="1246.83"/>
    <x v="1"/>
    <x v="5"/>
    <x v="2"/>
  </r>
  <r>
    <s v="Uthkarsh Kala"/>
    <s v="CA-2013-164784"/>
    <x v="4"/>
    <x v="1"/>
    <d v="2018-09-02T00:00:00"/>
    <x v="8"/>
    <n v="1857.16"/>
    <x v="2"/>
    <x v="0"/>
    <x v="0"/>
  </r>
  <r>
    <s v="Armaan Bhalla"/>
    <s v="CA-2013-164350"/>
    <x v="4"/>
    <x v="1"/>
    <d v="2018-09-11T00:00:00"/>
    <x v="1"/>
    <n v="1444.23"/>
    <x v="1"/>
    <x v="3"/>
    <x v="0"/>
  </r>
  <r>
    <s v="Yuvaan Borde"/>
    <s v="CA-2012-163237"/>
    <x v="4"/>
    <x v="1"/>
    <d v="2018-09-19T00:00:00"/>
    <x v="3"/>
    <n v="687.71"/>
    <x v="2"/>
    <x v="3"/>
    <x v="0"/>
  </r>
  <r>
    <s v="Anahita Handa"/>
    <s v="CA-2013-132549"/>
    <x v="4"/>
    <x v="2"/>
    <d v="2018-10-14T00:00:00"/>
    <x v="1"/>
    <n v="1001.36"/>
    <x v="2"/>
    <x v="0"/>
    <x v="0"/>
  </r>
  <r>
    <s v="Eshani Arya"/>
    <s v="CA-2012-169733"/>
    <x v="4"/>
    <x v="2"/>
    <d v="2018-10-22T00:00:00"/>
    <x v="4"/>
    <n v="1663.19"/>
    <x v="0"/>
    <x v="9"/>
    <x v="0"/>
  </r>
  <r>
    <s v="Hridaan Butala"/>
    <s v="CA-2011-159184"/>
    <x v="4"/>
    <x v="3"/>
    <d v="2018-11-12T00:00:00"/>
    <x v="1"/>
    <n v="71.400000000000006"/>
    <x v="2"/>
    <x v="1"/>
    <x v="0"/>
  </r>
  <r>
    <s v="Yuvaan Cherian"/>
    <s v="CA-2013-136483"/>
    <x v="4"/>
    <x v="3"/>
    <d v="2018-11-18T00:00:00"/>
    <x v="7"/>
    <n v="1590.62"/>
    <x v="1"/>
    <x v="9"/>
    <x v="1"/>
  </r>
  <r>
    <s v="Ryan Andra"/>
    <s v="CA-2013-113236"/>
    <x v="4"/>
    <x v="3"/>
    <d v="2018-11-27T00:00:00"/>
    <x v="8"/>
    <n v="1255.78"/>
    <x v="1"/>
    <x v="2"/>
    <x v="1"/>
  </r>
  <r>
    <s v="Veer Aggarwal"/>
    <s v="CA-2013-162236"/>
    <x v="4"/>
    <x v="11"/>
    <d v="2018-12-06T00:00:00"/>
    <x v="0"/>
    <n v="1153.26"/>
    <x v="2"/>
    <x v="0"/>
    <x v="0"/>
  </r>
  <r>
    <s v="Vanya Sibal"/>
    <s v="CA-2013-109911"/>
    <x v="4"/>
    <x v="11"/>
    <d v="2018-12-19T00:00:00"/>
    <x v="7"/>
    <n v="1813.62"/>
    <x v="1"/>
    <x v="1"/>
    <x v="2"/>
  </r>
  <r>
    <s v="Trisha Bava"/>
    <s v="CA-2013-110492"/>
    <x v="5"/>
    <x v="4"/>
    <d v="2019-01-09T00:00:00"/>
    <x v="9"/>
    <n v="1810.79"/>
    <x v="2"/>
    <x v="4"/>
    <x v="0"/>
  </r>
  <r>
    <s v="Nishith Chand"/>
    <s v="CA-2012-155635"/>
    <x v="5"/>
    <x v="5"/>
    <d v="2019-02-07T00:00:00"/>
    <x v="7"/>
    <n v="1928.75"/>
    <x v="2"/>
    <x v="3"/>
    <x v="0"/>
  </r>
  <r>
    <s v="Ira Brar"/>
    <s v="CA-2013-104276"/>
    <x v="5"/>
    <x v="6"/>
    <d v="2019-03-13T00:00:00"/>
    <x v="6"/>
    <n v="508.65"/>
    <x v="1"/>
    <x v="6"/>
    <x v="1"/>
  </r>
  <r>
    <s v="Shray Devan"/>
    <s v="CA-2013-150000"/>
    <x v="5"/>
    <x v="9"/>
    <d v="2019-04-26T00:00:00"/>
    <x v="6"/>
    <n v="179.31"/>
    <x v="0"/>
    <x v="7"/>
    <x v="2"/>
  </r>
  <r>
    <s v="Madhav Mani"/>
    <s v="CA-2013-113845"/>
    <x v="5"/>
    <x v="9"/>
    <d v="2019-04-30T00:00:00"/>
    <x v="2"/>
    <n v="664.17"/>
    <x v="2"/>
    <x v="4"/>
    <x v="0"/>
  </r>
  <r>
    <s v="Piya Iyer"/>
    <s v="CA-2011-151967"/>
    <x v="5"/>
    <x v="7"/>
    <d v="2019-06-02T00:00:00"/>
    <x v="4"/>
    <n v="1864.77"/>
    <x v="1"/>
    <x v="6"/>
    <x v="0"/>
  </r>
  <r>
    <s v="Himmat Singh"/>
    <s v="CA-2011-107573"/>
    <x v="5"/>
    <x v="7"/>
    <d v="2019-06-28T00:00:00"/>
    <x v="1"/>
    <n v="1592.57"/>
    <x v="1"/>
    <x v="9"/>
    <x v="0"/>
  </r>
  <r>
    <s v="Rhea Shanker"/>
    <s v="CA-2014-122987"/>
    <x v="5"/>
    <x v="7"/>
    <d v="2019-06-29T00:00:00"/>
    <x v="4"/>
    <n v="537.16999999999996"/>
    <x v="1"/>
    <x v="9"/>
    <x v="1"/>
  </r>
  <r>
    <s v="Misha Chad"/>
    <s v="CA-2011-125682"/>
    <x v="5"/>
    <x v="8"/>
    <d v="2019-07-12T00:00:00"/>
    <x v="7"/>
    <n v="1849.08"/>
    <x v="2"/>
    <x v="3"/>
    <x v="0"/>
  </r>
  <r>
    <s v="Zara Kulkarni"/>
    <s v="CA-2013-127985"/>
    <x v="5"/>
    <x v="8"/>
    <d v="2019-07-12T00:00:00"/>
    <x v="3"/>
    <n v="483.68"/>
    <x v="1"/>
    <x v="8"/>
    <x v="1"/>
  </r>
  <r>
    <s v="Hansh Sharaf"/>
    <s v="CA-2012-137281"/>
    <x v="5"/>
    <x v="8"/>
    <d v="2019-07-16T00:00:00"/>
    <x v="1"/>
    <n v="1136.05"/>
    <x v="0"/>
    <x v="5"/>
    <x v="0"/>
  </r>
  <r>
    <s v="Seher Viswanathan"/>
    <s v="CA-2011-138296"/>
    <x v="5"/>
    <x v="8"/>
    <d v="2019-07-25T00:00:00"/>
    <x v="4"/>
    <n v="1228.1300000000001"/>
    <x v="2"/>
    <x v="8"/>
    <x v="0"/>
  </r>
  <r>
    <s v="Hrishita Kamdar"/>
    <s v="CA-2013-146171"/>
    <x v="5"/>
    <x v="8"/>
    <d v="2019-07-27T00:00:00"/>
    <x v="1"/>
    <n v="224.47"/>
    <x v="0"/>
    <x v="7"/>
    <x v="2"/>
  </r>
  <r>
    <s v="Riaan Amble"/>
    <s v="CA-2011-136336"/>
    <x v="5"/>
    <x v="8"/>
    <d v="2019-07-28T00:00:00"/>
    <x v="6"/>
    <n v="387.65"/>
    <x v="0"/>
    <x v="6"/>
    <x v="0"/>
  </r>
  <r>
    <s v="Aniruddh Goda"/>
    <s v="CA-2013-159142"/>
    <x v="5"/>
    <x v="0"/>
    <d v="2019-08-27T00:00:00"/>
    <x v="1"/>
    <n v="1191.67"/>
    <x v="2"/>
    <x v="4"/>
    <x v="1"/>
  </r>
  <r>
    <s v="Shanaya Borde"/>
    <s v="CA-2013-168536"/>
    <x v="5"/>
    <x v="2"/>
    <d v="2019-10-06T00:00:00"/>
    <x v="6"/>
    <n v="1678.63"/>
    <x v="2"/>
    <x v="2"/>
    <x v="2"/>
  </r>
  <r>
    <s v="Anika Sankar"/>
    <s v="CA-2011-158274"/>
    <x v="5"/>
    <x v="2"/>
    <d v="2019-10-10T00:00:00"/>
    <x v="1"/>
    <n v="1687.38"/>
    <x v="2"/>
    <x v="7"/>
    <x v="1"/>
  </r>
  <r>
    <s v="Zoya Krish"/>
    <s v="CA-2011-140165"/>
    <x v="5"/>
    <x v="2"/>
    <d v="2019-10-20T00:00:00"/>
    <x v="2"/>
    <n v="964.84"/>
    <x v="2"/>
    <x v="5"/>
    <x v="1"/>
  </r>
  <r>
    <s v="Myra Korpal"/>
    <s v="CA-2012-117884"/>
    <x v="5"/>
    <x v="2"/>
    <d v="2019-10-22T00:00:00"/>
    <x v="9"/>
    <n v="662.86"/>
    <x v="1"/>
    <x v="9"/>
    <x v="0"/>
  </r>
  <r>
    <s v="Hazel Bains"/>
    <s v="CA-2012-118444"/>
    <x v="5"/>
    <x v="2"/>
    <d v="2019-10-23T00:00:00"/>
    <x v="1"/>
    <n v="828.79"/>
    <x v="2"/>
    <x v="2"/>
    <x v="2"/>
  </r>
  <r>
    <s v="Shray Yohannan"/>
    <s v="CA-2012-118843"/>
    <x v="5"/>
    <x v="2"/>
    <d v="2019-10-24T00:00:00"/>
    <x v="7"/>
    <n v="1542.74"/>
    <x v="2"/>
    <x v="5"/>
    <x v="1"/>
  </r>
  <r>
    <s v="Lakshit Manne"/>
    <s v="CA-2012-149300"/>
    <x v="5"/>
    <x v="2"/>
    <d v="2019-10-24T00:00:00"/>
    <x v="7"/>
    <n v="1653.38"/>
    <x v="0"/>
    <x v="1"/>
    <x v="2"/>
  </r>
  <r>
    <s v="Jayant Kalita"/>
    <s v="CA-2013-137736"/>
    <x v="5"/>
    <x v="3"/>
    <d v="2019-11-10T00:00:00"/>
    <x v="4"/>
    <n v="739.75"/>
    <x v="0"/>
    <x v="2"/>
    <x v="2"/>
  </r>
  <r>
    <s v="Rania Hayer"/>
    <s v="CA-2011-156790"/>
    <x v="6"/>
    <x v="5"/>
    <d v="2020-02-06T00:00:00"/>
    <x v="7"/>
    <n v="680.89"/>
    <x v="1"/>
    <x v="1"/>
    <x v="1"/>
  </r>
  <r>
    <s v="Advik Sarkar"/>
    <s v="CA-2011-134621"/>
    <x v="6"/>
    <x v="5"/>
    <d v="2020-02-20T00:00:00"/>
    <x v="9"/>
    <n v="826.44"/>
    <x v="2"/>
    <x v="5"/>
    <x v="0"/>
  </r>
  <r>
    <s v="Ritvik Hayer"/>
    <s v="CA-2011-106054"/>
    <x v="6"/>
    <x v="5"/>
    <d v="2020-02-26T00:00:00"/>
    <x v="9"/>
    <n v="1637.88"/>
    <x v="2"/>
    <x v="2"/>
    <x v="2"/>
  </r>
  <r>
    <s v="Advik Swaminathan"/>
    <s v="CA-2014-122154"/>
    <x v="6"/>
    <x v="5"/>
    <d v="2020-02-26T00:00:00"/>
    <x v="8"/>
    <n v="159.91"/>
    <x v="1"/>
    <x v="4"/>
    <x v="2"/>
  </r>
  <r>
    <s v="Umang Krishnan"/>
    <s v="CA-2014-103009"/>
    <x v="6"/>
    <x v="6"/>
    <d v="2020-03-12T00:00:00"/>
    <x v="2"/>
    <n v="1564.18"/>
    <x v="2"/>
    <x v="4"/>
    <x v="1"/>
  </r>
  <r>
    <s v="Drishya Dhawan"/>
    <s v="CA-2012-113628"/>
    <x v="6"/>
    <x v="6"/>
    <d v="2020-03-19T00:00:00"/>
    <x v="4"/>
    <n v="617.09"/>
    <x v="0"/>
    <x v="1"/>
    <x v="0"/>
  </r>
  <r>
    <s v="Arnav Roy"/>
    <s v="CA-2012-114503"/>
    <x v="6"/>
    <x v="6"/>
    <d v="2020-03-21T00:00:00"/>
    <x v="4"/>
    <n v="1555.13"/>
    <x v="1"/>
    <x v="9"/>
    <x v="0"/>
  </r>
  <r>
    <s v="Biju Chacko"/>
    <s v="CA-2012-104941"/>
    <x v="6"/>
    <x v="9"/>
    <d v="2020-04-07T00:00:00"/>
    <x v="0"/>
    <n v="1351.69"/>
    <x v="0"/>
    <x v="3"/>
    <x v="1"/>
  </r>
  <r>
    <s v="Samar Hans"/>
    <s v="CA-2011-163013"/>
    <x v="6"/>
    <x v="9"/>
    <d v="2020-04-09T00:00:00"/>
    <x v="4"/>
    <n v="1723.47"/>
    <x v="1"/>
    <x v="5"/>
    <x v="1"/>
  </r>
  <r>
    <s v="Sara Koshy"/>
    <s v="CA-2014-103212"/>
    <x v="6"/>
    <x v="9"/>
    <d v="2020-04-10T00:00:00"/>
    <x v="9"/>
    <n v="1603.93"/>
    <x v="0"/>
    <x v="1"/>
    <x v="0"/>
  </r>
  <r>
    <s v="Taran Arya"/>
    <s v="CA-2012-129098"/>
    <x v="6"/>
    <x v="9"/>
    <d v="2020-04-13T00:00:00"/>
    <x v="8"/>
    <n v="1136.43"/>
    <x v="2"/>
    <x v="8"/>
    <x v="1"/>
  </r>
  <r>
    <s v="Vaibhav Dada"/>
    <s v="CA-2012-130218"/>
    <x v="6"/>
    <x v="9"/>
    <d v="2020-04-14T00:00:00"/>
    <x v="6"/>
    <n v="946.58"/>
    <x v="2"/>
    <x v="9"/>
    <x v="1"/>
  </r>
  <r>
    <s v="Manjari Kannan"/>
    <s v="CA-2013-113831"/>
    <x v="6"/>
    <x v="7"/>
    <d v="2020-06-14T00:00:00"/>
    <x v="2"/>
    <n v="1858.51"/>
    <x v="0"/>
    <x v="4"/>
    <x v="2"/>
  </r>
  <r>
    <s v="Manjari Kannan"/>
    <s v="CA-2014-114055"/>
    <x v="6"/>
    <x v="7"/>
    <d v="2020-06-14T00:00:00"/>
    <x v="4"/>
    <n v="151.72999999999999"/>
    <x v="1"/>
    <x v="7"/>
    <x v="1"/>
  </r>
  <r>
    <s v="Parinaaz Brar"/>
    <s v="CA-2013-162159"/>
    <x v="6"/>
    <x v="8"/>
    <d v="2020-07-06T00:00:00"/>
    <x v="7"/>
    <n v="88.27"/>
    <x v="2"/>
    <x v="0"/>
    <x v="1"/>
  </r>
  <r>
    <s v="Rania Sawhney"/>
    <s v="CA-2011-114321"/>
    <x v="6"/>
    <x v="8"/>
    <d v="2020-07-08T00:00:00"/>
    <x v="5"/>
    <n v="806.94"/>
    <x v="0"/>
    <x v="1"/>
    <x v="0"/>
  </r>
  <r>
    <s v="Mishti Shah"/>
    <s v="CA-2014-106537"/>
    <x v="6"/>
    <x v="8"/>
    <d v="2020-07-14T00:00:00"/>
    <x v="5"/>
    <n v="362.61"/>
    <x v="1"/>
    <x v="0"/>
    <x v="1"/>
  </r>
  <r>
    <s v="Kavya Bawa"/>
    <s v="CA-2013-123533"/>
    <x v="6"/>
    <x v="0"/>
    <d v="2020-08-09T00:00:00"/>
    <x v="1"/>
    <n v="266.16000000000003"/>
    <x v="0"/>
    <x v="7"/>
    <x v="0"/>
  </r>
  <r>
    <s v="Madhup Hayre"/>
    <s v="CA-2013-123617"/>
    <x v="6"/>
    <x v="0"/>
    <d v="2020-08-10T00:00:00"/>
    <x v="4"/>
    <n v="178.61"/>
    <x v="2"/>
    <x v="9"/>
    <x v="2"/>
  </r>
  <r>
    <s v="Jhanvi Ranganathan"/>
    <s v="CA-2014-104864"/>
    <x v="6"/>
    <x v="0"/>
    <d v="2020-08-12T00:00:00"/>
    <x v="5"/>
    <n v="746.51"/>
    <x v="1"/>
    <x v="6"/>
    <x v="1"/>
  </r>
  <r>
    <s v="Shalv Gara"/>
    <s v="CA-2013-118178"/>
    <x v="6"/>
    <x v="0"/>
    <d v="2020-08-16T00:00:00"/>
    <x v="2"/>
    <n v="1203.49"/>
    <x v="2"/>
    <x v="4"/>
    <x v="2"/>
  </r>
  <r>
    <s v="Akarsh Sarma"/>
    <s v="CA-2013-131065"/>
    <x v="6"/>
    <x v="0"/>
    <d v="2020-08-19T00:00:00"/>
    <x v="9"/>
    <n v="1224.6099999999999"/>
    <x v="0"/>
    <x v="2"/>
    <x v="2"/>
  </r>
  <r>
    <s v="Reyansh Chaudhari"/>
    <s v="CA-2013-131968"/>
    <x v="6"/>
    <x v="0"/>
    <d v="2020-08-21T00:00:00"/>
    <x v="8"/>
    <n v="1456.96"/>
    <x v="0"/>
    <x v="8"/>
    <x v="0"/>
  </r>
  <r>
    <s v="Suhana Raja"/>
    <s v="CA-2013-154060"/>
    <x v="6"/>
    <x v="1"/>
    <d v="2020-09-16T00:00:00"/>
    <x v="4"/>
    <n v="1477.04"/>
    <x v="2"/>
    <x v="8"/>
    <x v="2"/>
  </r>
  <r>
    <s v="Samar Thakkar"/>
    <s v="CA-2013-154690"/>
    <x v="6"/>
    <x v="1"/>
    <d v="2020-09-18T00:00:00"/>
    <x v="7"/>
    <n v="1502.74"/>
    <x v="1"/>
    <x v="6"/>
    <x v="1"/>
  </r>
  <r>
    <s v="Suhana Luthra"/>
    <s v="CA-2013-106894"/>
    <x v="6"/>
    <x v="1"/>
    <d v="2020-09-24T00:00:00"/>
    <x v="7"/>
    <n v="1101.81"/>
    <x v="2"/>
    <x v="1"/>
    <x v="2"/>
  </r>
  <r>
    <s v="Jivin Mander"/>
    <s v="CA-2013-165316"/>
    <x v="6"/>
    <x v="2"/>
    <d v="2020-10-02T00:00:00"/>
    <x v="8"/>
    <n v="1798.03"/>
    <x v="1"/>
    <x v="2"/>
    <x v="0"/>
  </r>
  <r>
    <s v="Suhana Randhawa"/>
    <s v="CA-2012-103135"/>
    <x v="6"/>
    <x v="2"/>
    <d v="2020-10-07T00:00:00"/>
    <x v="7"/>
    <n v="943.63"/>
    <x v="2"/>
    <x v="1"/>
    <x v="0"/>
  </r>
  <r>
    <s v="Himmat Dhar"/>
    <s v="CA-2012-103793"/>
    <x v="6"/>
    <x v="2"/>
    <d v="2020-10-09T00:00:00"/>
    <x v="4"/>
    <n v="94.51"/>
    <x v="2"/>
    <x v="4"/>
    <x v="2"/>
  </r>
  <r>
    <s v="Armaan Mander"/>
    <s v="CA-2014-102204"/>
    <x v="6"/>
    <x v="3"/>
    <d v="2020-11-25T00:00:00"/>
    <x v="9"/>
    <n v="589.41"/>
    <x v="1"/>
    <x v="6"/>
    <x v="0"/>
  </r>
  <r>
    <s v="Riaan Rama"/>
    <s v="CA-2013-122518"/>
    <x v="7"/>
    <x v="4"/>
    <d v="2021-01-25T00:00:00"/>
    <x v="9"/>
    <n v="289.72000000000003"/>
    <x v="0"/>
    <x v="5"/>
    <x v="0"/>
  </r>
  <r>
    <s v="Tarini Rajan"/>
    <s v="CA-2012-156328"/>
    <x v="7"/>
    <x v="4"/>
    <d v="2021-01-26T00:00:00"/>
    <x v="0"/>
    <n v="1658.7"/>
    <x v="0"/>
    <x v="5"/>
    <x v="0"/>
  </r>
  <r>
    <s v="Tarini Hans"/>
    <s v="CA-2012-153535"/>
    <x v="7"/>
    <x v="5"/>
    <d v="2021-02-01T00:00:00"/>
    <x v="1"/>
    <n v="1092.94"/>
    <x v="2"/>
    <x v="4"/>
    <x v="0"/>
  </r>
  <r>
    <s v="Saira Shah"/>
    <s v="CA-2011-161634"/>
    <x v="7"/>
    <x v="5"/>
    <d v="2021-02-09T00:00:00"/>
    <x v="1"/>
    <n v="1179.23"/>
    <x v="0"/>
    <x v="7"/>
    <x v="1"/>
  </r>
  <r>
    <s v="Purab Dora"/>
    <s v="CA-2011-165806"/>
    <x v="7"/>
    <x v="5"/>
    <d v="2021-02-14T00:00:00"/>
    <x v="6"/>
    <n v="1457.68"/>
    <x v="2"/>
    <x v="5"/>
    <x v="2"/>
  </r>
  <r>
    <s v="Adira Sachdev"/>
    <s v="CA-2013-133368"/>
    <x v="7"/>
    <x v="5"/>
    <d v="2021-02-20T00:00:00"/>
    <x v="4"/>
    <n v="805.08"/>
    <x v="1"/>
    <x v="4"/>
    <x v="0"/>
  </r>
  <r>
    <s v="Samiha Dube"/>
    <s v="CA-2012-100888"/>
    <x v="7"/>
    <x v="5"/>
    <d v="2021-02-27T00:00:00"/>
    <x v="0"/>
    <n v="222.57"/>
    <x v="0"/>
    <x v="0"/>
    <x v="1"/>
  </r>
  <r>
    <s v="Tarini Brar"/>
    <s v="CA-2014-103065"/>
    <x v="7"/>
    <x v="5"/>
    <d v="2021-02-27T00:00:00"/>
    <x v="9"/>
    <n v="688.26"/>
    <x v="2"/>
    <x v="3"/>
    <x v="2"/>
  </r>
  <r>
    <s v="Tarini Brar"/>
    <s v="CA-2014-116855"/>
    <x v="7"/>
    <x v="6"/>
    <d v="2021-03-10T00:00:00"/>
    <x v="9"/>
    <n v="1322.76"/>
    <x v="0"/>
    <x v="8"/>
    <x v="0"/>
  </r>
  <r>
    <s v="Hazel Bahri"/>
    <s v="CA-2014-116939"/>
    <x v="7"/>
    <x v="6"/>
    <d v="2021-03-11T00:00:00"/>
    <x v="9"/>
    <n v="1179.6099999999999"/>
    <x v="1"/>
    <x v="6"/>
    <x v="0"/>
  </r>
  <r>
    <s v="Madhav Handa"/>
    <s v="CA-2012-141565"/>
    <x v="7"/>
    <x v="9"/>
    <d v="2021-04-05T00:00:00"/>
    <x v="6"/>
    <n v="1945.79"/>
    <x v="2"/>
    <x v="2"/>
    <x v="1"/>
  </r>
  <r>
    <s v="Jivin Ghose"/>
    <s v="CA-2012-147011"/>
    <x v="7"/>
    <x v="8"/>
    <d v="2021-07-11T00:00:00"/>
    <x v="0"/>
    <n v="433.38"/>
    <x v="2"/>
    <x v="6"/>
    <x v="2"/>
  </r>
  <r>
    <s v="Samaira Ben"/>
    <s v="CA-2011-117016"/>
    <x v="7"/>
    <x v="1"/>
    <d v="2021-09-11T00:00:00"/>
    <x v="9"/>
    <n v="819.72"/>
    <x v="2"/>
    <x v="1"/>
    <x v="1"/>
  </r>
  <r>
    <s v="Ira Chopra"/>
    <s v="CA-2013-146143"/>
    <x v="7"/>
    <x v="1"/>
    <d v="2021-09-13T00:00:00"/>
    <x v="2"/>
    <n v="119.04"/>
    <x v="1"/>
    <x v="3"/>
    <x v="1"/>
  </r>
  <r>
    <s v="Shlok Salvi"/>
    <s v="CA-2013-146150"/>
    <x v="7"/>
    <x v="1"/>
    <d v="2021-09-14T00:00:00"/>
    <x v="2"/>
    <n v="749.53"/>
    <x v="1"/>
    <x v="1"/>
    <x v="0"/>
  </r>
  <r>
    <s v="Piya Kulkarni"/>
    <s v="CA-2012-150308"/>
    <x v="7"/>
    <x v="1"/>
    <d v="2021-09-23T00:00:00"/>
    <x v="4"/>
    <n v="1710.45"/>
    <x v="2"/>
    <x v="2"/>
    <x v="2"/>
  </r>
  <r>
    <s v="Hazel Bahri"/>
    <s v="CA-2012-165624"/>
    <x v="7"/>
    <x v="1"/>
    <d v="2021-09-29T00:00:00"/>
    <x v="4"/>
    <n v="946.52"/>
    <x v="2"/>
    <x v="7"/>
    <x v="0"/>
  </r>
  <r>
    <s v="Indrans Saran"/>
    <s v="CA-2013-157763"/>
    <x v="7"/>
    <x v="1"/>
    <d v="2021-09-30T00:00:00"/>
    <x v="4"/>
    <n v="1322.75"/>
    <x v="0"/>
    <x v="5"/>
    <x v="0"/>
  </r>
  <r>
    <s v="Sara Gala"/>
    <s v="CA-2011-129091"/>
    <x v="7"/>
    <x v="2"/>
    <d v="2021-10-18T00:00:00"/>
    <x v="3"/>
    <n v="1769.73"/>
    <x v="2"/>
    <x v="6"/>
    <x v="1"/>
  </r>
  <r>
    <s v="Shalv Walia"/>
    <s v="CA-2013-101469"/>
    <x v="7"/>
    <x v="3"/>
    <d v="2021-11-05T00:00:00"/>
    <x v="5"/>
    <n v="120.32"/>
    <x v="1"/>
    <x v="9"/>
    <x v="1"/>
  </r>
  <r>
    <s v="Onkar Gandhi"/>
    <s v="CA-2013-130442"/>
    <x v="7"/>
    <x v="11"/>
    <d v="2021-12-12T00:00:00"/>
    <x v="6"/>
    <n v="283.77"/>
    <x v="0"/>
    <x v="1"/>
    <x v="0"/>
  </r>
  <r>
    <s v="Lakshay Gaba"/>
    <s v="CA-2011-160094"/>
    <x v="7"/>
    <x v="11"/>
    <d v="2021-12-14T00:00:00"/>
    <x v="2"/>
    <n v="1291.56"/>
    <x v="2"/>
    <x v="6"/>
    <x v="1"/>
  </r>
  <r>
    <s v="Aarush Gopal"/>
    <s v="CA-2011-160276"/>
    <x v="7"/>
    <x v="11"/>
    <d v="2021-12-15T00:00:00"/>
    <x v="2"/>
    <n v="1305.6199999999999"/>
    <x v="0"/>
    <x v="4"/>
    <x v="1"/>
  </r>
  <r>
    <s v="Ahana Sunder"/>
    <s v="CA-2013-102498"/>
    <x v="7"/>
    <x v="11"/>
    <d v="2021-12-28T00:00:00"/>
    <x v="2"/>
    <n v="493.04"/>
    <x v="1"/>
    <x v="8"/>
    <x v="1"/>
  </r>
  <r>
    <s v="Mishti Shah"/>
    <s v="CA-2014-122056"/>
    <x v="8"/>
    <x v="4"/>
    <d v="2022-01-09T00:00:00"/>
    <x v="5"/>
    <n v="576.57000000000005"/>
    <x v="1"/>
    <x v="8"/>
    <x v="1"/>
  </r>
  <r>
    <s v="Manjari Balakrishnan"/>
    <s v="CA-2011-142727"/>
    <x v="8"/>
    <x v="4"/>
    <d v="2022-01-23T00:00:00"/>
    <x v="8"/>
    <n v="844.07"/>
    <x v="0"/>
    <x v="0"/>
    <x v="2"/>
  </r>
  <r>
    <s v="Vedika Srinivasan"/>
    <s v="CA-2011-127488"/>
    <x v="8"/>
    <x v="4"/>
    <d v="2022-01-27T00:00:00"/>
    <x v="1"/>
    <n v="1341.86"/>
    <x v="1"/>
    <x v="7"/>
    <x v="1"/>
  </r>
  <r>
    <s v="Piya Vohra"/>
    <s v="CA-2013-157588"/>
    <x v="8"/>
    <x v="5"/>
    <d v="2022-02-18T00:00:00"/>
    <x v="4"/>
    <n v="877.34"/>
    <x v="1"/>
    <x v="2"/>
    <x v="2"/>
  </r>
  <r>
    <s v="Neelofar Aurora"/>
    <s v="CA-2011-112718"/>
    <x v="8"/>
    <x v="5"/>
    <d v="2022-02-19T00:00:00"/>
    <x v="9"/>
    <n v="1055.32"/>
    <x v="2"/>
    <x v="4"/>
    <x v="2"/>
  </r>
  <r>
    <s v="Dhruv Gulati"/>
    <s v="CA-2014-124898"/>
    <x v="8"/>
    <x v="5"/>
    <d v="2022-02-19T00:00:00"/>
    <x v="0"/>
    <n v="863.13"/>
    <x v="0"/>
    <x v="5"/>
    <x v="1"/>
  </r>
  <r>
    <s v="Vanya Dutta"/>
    <s v="CA-2011-101266"/>
    <x v="8"/>
    <x v="6"/>
    <d v="2022-03-27T00:00:00"/>
    <x v="6"/>
    <n v="164.13"/>
    <x v="0"/>
    <x v="0"/>
    <x v="2"/>
  </r>
  <r>
    <s v="Mohanlal Sachar"/>
    <s v="CA-2014-119004"/>
    <x v="8"/>
    <x v="6"/>
    <d v="2022-03-27T00:00:00"/>
    <x v="9"/>
    <n v="1583.24"/>
    <x v="2"/>
    <x v="7"/>
    <x v="2"/>
  </r>
  <r>
    <s v="Trisha Sawhney"/>
    <s v="CA-2013-157245"/>
    <x v="8"/>
    <x v="9"/>
    <d v="2022-04-12T00:00:00"/>
    <x v="3"/>
    <n v="164.93"/>
    <x v="2"/>
    <x v="9"/>
    <x v="2"/>
  </r>
  <r>
    <s v="Jayesh Vaidya"/>
    <s v="CA-2014-124828"/>
    <x v="8"/>
    <x v="10"/>
    <d v="2022-05-04T00:00:00"/>
    <x v="8"/>
    <n v="174.16"/>
    <x v="0"/>
    <x v="8"/>
    <x v="1"/>
  </r>
  <r>
    <s v="Trisha Deep"/>
    <s v="CA-2013-142097"/>
    <x v="8"/>
    <x v="10"/>
    <d v="2022-05-07T00:00:00"/>
    <x v="4"/>
    <n v="1426.55"/>
    <x v="2"/>
    <x v="2"/>
    <x v="2"/>
  </r>
  <r>
    <s v="Sana Loke"/>
    <s v="CA-2014-107209"/>
    <x v="8"/>
    <x v="10"/>
    <d v="2022-05-07T00:00:00"/>
    <x v="0"/>
    <n v="152.33000000000001"/>
    <x v="1"/>
    <x v="9"/>
    <x v="0"/>
  </r>
  <r>
    <s v="Kiara Balakrishnan"/>
    <s v="CA-2013-142370"/>
    <x v="8"/>
    <x v="10"/>
    <d v="2022-05-08T00:00:00"/>
    <x v="7"/>
    <n v="225.47"/>
    <x v="0"/>
    <x v="1"/>
    <x v="2"/>
  </r>
  <r>
    <s v="Bhavin Comar"/>
    <s v="CA-2014-107461"/>
    <x v="8"/>
    <x v="10"/>
    <d v="2022-05-08T00:00:00"/>
    <x v="0"/>
    <n v="1170.6500000000001"/>
    <x v="0"/>
    <x v="2"/>
    <x v="2"/>
  </r>
  <r>
    <s v="Vaibhav Talwar"/>
    <s v="CA-2013-142895"/>
    <x v="8"/>
    <x v="10"/>
    <d v="2022-05-09T00:00:00"/>
    <x v="8"/>
    <n v="1422.62"/>
    <x v="1"/>
    <x v="9"/>
    <x v="2"/>
  </r>
  <r>
    <s v="Rhea Shanker"/>
    <s v="CA-2014-108035"/>
    <x v="8"/>
    <x v="10"/>
    <d v="2022-05-09T00:00:00"/>
    <x v="8"/>
    <n v="89.3"/>
    <x v="0"/>
    <x v="6"/>
    <x v="2"/>
  </r>
  <r>
    <s v="Anika Krishna"/>
    <s v="CA-2013-118934"/>
    <x v="8"/>
    <x v="10"/>
    <d v="2022-05-16T00:00:00"/>
    <x v="6"/>
    <n v="188.37"/>
    <x v="1"/>
    <x v="4"/>
    <x v="0"/>
  </r>
  <r>
    <s v="Nitara Rana"/>
    <s v="CA-2011-127614"/>
    <x v="8"/>
    <x v="7"/>
    <d v="2022-06-10T00:00:00"/>
    <x v="9"/>
    <n v="717.58"/>
    <x v="2"/>
    <x v="1"/>
    <x v="2"/>
  </r>
  <r>
    <s v="Misha Atwal"/>
    <s v="CA-2011-149958"/>
    <x v="8"/>
    <x v="7"/>
    <d v="2022-06-10T00:00:00"/>
    <x v="6"/>
    <n v="391.39"/>
    <x v="1"/>
    <x v="1"/>
    <x v="2"/>
  </r>
  <r>
    <s v="Sahil Ranganathan"/>
    <s v="CA-2011-151953"/>
    <x v="8"/>
    <x v="7"/>
    <d v="2022-06-11T00:00:00"/>
    <x v="4"/>
    <n v="1323.33"/>
    <x v="1"/>
    <x v="4"/>
    <x v="1"/>
  </r>
  <r>
    <s v="Piya Loyal"/>
    <s v="CA-2014-121818"/>
    <x v="8"/>
    <x v="7"/>
    <d v="2022-06-23T00:00:00"/>
    <x v="2"/>
    <n v="1376.16"/>
    <x v="1"/>
    <x v="6"/>
    <x v="0"/>
  </r>
  <r>
    <s v="Amani Dara"/>
    <s v="CA-2013-162901"/>
    <x v="8"/>
    <x v="7"/>
    <d v="2022-06-25T00:00:00"/>
    <x v="5"/>
    <n v="1674.57"/>
    <x v="1"/>
    <x v="2"/>
    <x v="1"/>
  </r>
  <r>
    <s v="Mohanlal Sachar"/>
    <s v="CA-2014-102610"/>
    <x v="8"/>
    <x v="8"/>
    <d v="2022-07-31T00:00:00"/>
    <x v="0"/>
    <n v="1126.5999999999999"/>
    <x v="0"/>
    <x v="5"/>
    <x v="0"/>
  </r>
  <r>
    <s v="Jivika Ravi"/>
    <s v="CA-2011-100895"/>
    <x v="8"/>
    <x v="0"/>
    <d v="2022-08-23T00:00:00"/>
    <x v="9"/>
    <n v="1228.47"/>
    <x v="1"/>
    <x v="1"/>
    <x v="0"/>
  </r>
  <r>
    <s v="Mahika Lala"/>
    <s v="CA-2014-101042"/>
    <x v="8"/>
    <x v="1"/>
    <d v="2022-09-02T00:00:00"/>
    <x v="2"/>
    <n v="268.52"/>
    <x v="1"/>
    <x v="9"/>
    <x v="1"/>
  </r>
  <r>
    <s v="Vidur Aggarwal"/>
    <s v="CA-2013-109722"/>
    <x v="8"/>
    <x v="1"/>
    <d v="2022-09-03T00:00:00"/>
    <x v="7"/>
    <n v="633.74"/>
    <x v="0"/>
    <x v="7"/>
    <x v="0"/>
  </r>
  <r>
    <s v="Jayant Tak"/>
    <s v="CA-2013-109743"/>
    <x v="8"/>
    <x v="1"/>
    <d v="2022-09-04T00:00:00"/>
    <x v="0"/>
    <n v="1142.27"/>
    <x v="1"/>
    <x v="2"/>
    <x v="2"/>
  </r>
  <r>
    <s v="Jayesh Sarin"/>
    <s v="CA-2013-159891"/>
    <x v="8"/>
    <x v="1"/>
    <d v="2022-09-06T00:00:00"/>
    <x v="1"/>
    <n v="941.64"/>
    <x v="2"/>
    <x v="3"/>
    <x v="0"/>
  </r>
  <r>
    <s v="Yuvaan Trivedi"/>
    <s v="CA-2013-139269"/>
    <x v="8"/>
    <x v="1"/>
    <d v="2022-09-29T00:00:00"/>
    <x v="3"/>
    <n v="1752.17"/>
    <x v="2"/>
    <x v="2"/>
    <x v="1"/>
  </r>
  <r>
    <s v="Kimaya Johal"/>
    <s v="CA-2013-104157"/>
    <x v="8"/>
    <x v="2"/>
    <d v="2022-10-13T00:00:00"/>
    <x v="5"/>
    <n v="1900.69"/>
    <x v="0"/>
    <x v="2"/>
    <x v="2"/>
  </r>
  <r>
    <s v="Samarth Kalita"/>
    <s v="CA-2011-115357"/>
    <x v="8"/>
    <x v="2"/>
    <d v="2022-10-27T00:00:00"/>
    <x v="2"/>
    <n v="410.29"/>
    <x v="1"/>
    <x v="3"/>
    <x v="0"/>
  </r>
  <r>
    <s v="Dhruv Gulati"/>
    <s v="CA-2014-110926"/>
    <x v="8"/>
    <x v="3"/>
    <d v="2022-11-05T00:00:00"/>
    <x v="5"/>
    <n v="1649.47"/>
    <x v="2"/>
    <x v="6"/>
    <x v="1"/>
  </r>
  <r>
    <s v="Tushar Setty"/>
    <s v="CA-2011-137911"/>
    <x v="8"/>
    <x v="11"/>
    <d v="2022-12-26T00:00:00"/>
    <x v="6"/>
    <n v="868.59"/>
    <x v="0"/>
    <x v="4"/>
    <x v="1"/>
  </r>
  <r>
    <s v="Dhanush Lall"/>
    <s v="CA-2014-115070"/>
    <x v="8"/>
    <x v="11"/>
    <d v="2022-12-26T00:00:00"/>
    <x v="8"/>
    <n v="743.28"/>
    <x v="0"/>
    <x v="8"/>
    <x v="0"/>
  </r>
  <r>
    <s v="Damini Bora"/>
    <s v="CA-2014-115448"/>
    <x v="8"/>
    <x v="11"/>
    <d v="2022-12-27T00:00:00"/>
    <x v="4"/>
    <n v="1488.39"/>
    <x v="2"/>
    <x v="0"/>
    <x v="1"/>
  </r>
  <r>
    <s v="Madhup Hayre"/>
    <s v="CA-2014-115882"/>
    <x v="8"/>
    <x v="11"/>
    <d v="2022-12-28T00:00:00"/>
    <x v="3"/>
    <n v="1090.97"/>
    <x v="1"/>
    <x v="0"/>
    <x v="2"/>
  </r>
  <r>
    <s v="Kanav Chhabra"/>
    <s v="CA-2013-118626"/>
    <x v="8"/>
    <x v="11"/>
    <d v="2022-12-29T00:00:00"/>
    <x v="2"/>
    <n v="1695.29"/>
    <x v="0"/>
    <x v="1"/>
    <x v="0"/>
  </r>
  <r>
    <s v="Aarna Kota"/>
    <s v="CA-2012-128139"/>
    <x v="9"/>
    <x v="4"/>
    <d v="2023-01-16T00:00:00"/>
    <x v="9"/>
    <n v="1904.8"/>
    <x v="2"/>
    <x v="6"/>
    <x v="0"/>
  </r>
  <r>
    <s v="Manjari Kannan"/>
    <s v="CA-2014-112774"/>
    <x v="9"/>
    <x v="4"/>
    <d v="2023-01-25T00:00:00"/>
    <x v="5"/>
    <n v="346.24"/>
    <x v="1"/>
    <x v="0"/>
    <x v="0"/>
  </r>
  <r>
    <s v="Raghav Kar"/>
    <s v="CA-2011-165764"/>
    <x v="9"/>
    <x v="6"/>
    <d v="2023-03-13T00:00:00"/>
    <x v="8"/>
    <n v="1616.09"/>
    <x v="2"/>
    <x v="4"/>
    <x v="0"/>
  </r>
  <r>
    <s v="Mehul Bedi"/>
    <s v="CA-2011-143840"/>
    <x v="9"/>
    <x v="9"/>
    <d v="2023-04-03T00:00:00"/>
    <x v="8"/>
    <n v="709.33"/>
    <x v="2"/>
    <x v="6"/>
    <x v="2"/>
  </r>
  <r>
    <s v="Priyansh Kamdar"/>
    <s v="CA-2012-104115"/>
    <x v="9"/>
    <x v="9"/>
    <d v="2023-04-06T00:00:00"/>
    <x v="2"/>
    <n v="1853.95"/>
    <x v="1"/>
    <x v="1"/>
    <x v="0"/>
  </r>
  <r>
    <s v="Rhea Shanker"/>
    <s v="CA-2013-112277"/>
    <x v="9"/>
    <x v="9"/>
    <d v="2023-04-11T00:00:00"/>
    <x v="5"/>
    <n v="353.13"/>
    <x v="1"/>
    <x v="5"/>
    <x v="2"/>
  </r>
  <r>
    <s v="Myra Singhal"/>
    <s v="CA-2012-107678"/>
    <x v="9"/>
    <x v="9"/>
    <d v="2023-04-13T00:00:00"/>
    <x v="6"/>
    <n v="729.37"/>
    <x v="2"/>
    <x v="8"/>
    <x v="1"/>
  </r>
  <r>
    <s v="Saanvi Mand"/>
    <s v="CA-2013-124772"/>
    <x v="9"/>
    <x v="7"/>
    <d v="2023-06-02T00:00:00"/>
    <x v="0"/>
    <n v="528.86"/>
    <x v="0"/>
    <x v="6"/>
    <x v="1"/>
  </r>
  <r>
    <s v="Bhavin Dubey"/>
    <s v="CA-2012-112375"/>
    <x v="9"/>
    <x v="7"/>
    <d v="2023-06-16T00:00:00"/>
    <x v="5"/>
    <n v="73.260000000000005"/>
    <x v="2"/>
    <x v="2"/>
    <x v="1"/>
  </r>
  <r>
    <s v="Nitya Sathe"/>
    <s v="CA-2012-102778"/>
    <x v="9"/>
    <x v="7"/>
    <d v="2023-06-26T00:00:00"/>
    <x v="5"/>
    <n v="1266.82"/>
    <x v="0"/>
    <x v="9"/>
    <x v="2"/>
  </r>
  <r>
    <s v="Dhanuk Taneja"/>
    <s v="CA-2012-168459"/>
    <x v="9"/>
    <x v="8"/>
    <d v="2023-07-14T00:00:00"/>
    <x v="5"/>
    <n v="1556.42"/>
    <x v="1"/>
    <x v="2"/>
    <x v="0"/>
  </r>
  <r>
    <s v="Nitara Vala"/>
    <s v="CA-2011-167850"/>
    <x v="9"/>
    <x v="8"/>
    <d v="2023-07-23T00:00:00"/>
    <x v="2"/>
    <n v="117.88"/>
    <x v="0"/>
    <x v="4"/>
    <x v="1"/>
  </r>
  <r>
    <s v="Urvi Sha"/>
    <s v="CA-2011-169684"/>
    <x v="9"/>
    <x v="8"/>
    <d v="2023-07-25T00:00:00"/>
    <x v="4"/>
    <n v="640.5"/>
    <x v="1"/>
    <x v="4"/>
    <x v="0"/>
  </r>
  <r>
    <s v="Riaan Kashyap"/>
    <s v="CA-2011-152849"/>
    <x v="9"/>
    <x v="0"/>
    <d v="2023-08-09T00:00:00"/>
    <x v="3"/>
    <n v="327.23"/>
    <x v="2"/>
    <x v="3"/>
    <x v="0"/>
  </r>
  <r>
    <s v="Shalv Dass"/>
    <s v="CA-2011-153087"/>
    <x v="9"/>
    <x v="0"/>
    <d v="2023-08-10T00:00:00"/>
    <x v="5"/>
    <n v="1715.77"/>
    <x v="2"/>
    <x v="8"/>
    <x v="2"/>
  </r>
  <r>
    <s v="Kaira Bal"/>
    <s v="CA-2012-104038"/>
    <x v="9"/>
    <x v="0"/>
    <d v="2023-08-10T00:00:00"/>
    <x v="9"/>
    <n v="726.73"/>
    <x v="1"/>
    <x v="6"/>
    <x v="2"/>
  </r>
  <r>
    <s v="Sana Cheema"/>
    <s v="CA-2011-153927"/>
    <x v="9"/>
    <x v="1"/>
    <d v="2023-09-17T00:00:00"/>
    <x v="5"/>
    <n v="336.64"/>
    <x v="0"/>
    <x v="6"/>
    <x v="0"/>
  </r>
  <r>
    <s v="Abram Choudhry"/>
    <s v="CA-2013-133872"/>
    <x v="9"/>
    <x v="1"/>
    <d v="2023-09-28T00:00:00"/>
    <x v="9"/>
    <n v="1578.61"/>
    <x v="2"/>
    <x v="5"/>
    <x v="2"/>
  </r>
  <r>
    <s v="Vidur Lall"/>
    <s v="CA-2014-101210"/>
    <x v="9"/>
    <x v="2"/>
    <d v="2023-10-14T00:00:00"/>
    <x v="2"/>
    <n v="1178.76"/>
    <x v="0"/>
    <x v="7"/>
    <x v="0"/>
  </r>
  <r>
    <s v="Manjari Shankar"/>
    <s v="CA-2013-113733"/>
    <x v="9"/>
    <x v="2"/>
    <d v="2023-10-25T00:00:00"/>
    <x v="1"/>
    <n v="229.56"/>
    <x v="2"/>
    <x v="0"/>
    <x v="0"/>
  </r>
  <r>
    <s v="Samarth Chand"/>
    <s v="CA-2011-109232"/>
    <x v="9"/>
    <x v="2"/>
    <d v="2023-10-27T00:00:00"/>
    <x v="2"/>
    <n v="1549.79"/>
    <x v="1"/>
    <x v="5"/>
    <x v="0"/>
  </r>
  <r>
    <s v="Taran Hayer"/>
    <s v="CA-2013-125843"/>
    <x v="9"/>
    <x v="2"/>
    <d v="2023-10-31T00:00:00"/>
    <x v="3"/>
    <n v="340.01"/>
    <x v="1"/>
    <x v="2"/>
    <x v="1"/>
  </r>
  <r>
    <s v="Mehul Bandi"/>
    <s v="CA-2013-127208"/>
    <x v="9"/>
    <x v="3"/>
    <d v="2023-11-01T00:00:00"/>
    <x v="4"/>
    <n v="291.70999999999998"/>
    <x v="1"/>
    <x v="3"/>
    <x v="2"/>
  </r>
  <r>
    <s v="Miraya Sarraf"/>
    <s v="CA-2012-108259"/>
    <x v="9"/>
    <x v="3"/>
    <d v="2023-11-21T00:00:00"/>
    <x v="1"/>
    <n v="1591.65"/>
    <x v="2"/>
    <x v="9"/>
    <x v="1"/>
  </r>
  <r>
    <s v="Jivika Dass"/>
    <s v="CA-2013-119823"/>
    <x v="9"/>
    <x v="3"/>
    <d v="2023-11-25T00:00:00"/>
    <x v="4"/>
    <n v="1635.61"/>
    <x v="1"/>
    <x v="1"/>
    <x v="2"/>
  </r>
  <r>
    <s v="Kavya Golla"/>
    <s v="CA-2011-158771"/>
    <x v="9"/>
    <x v="11"/>
    <d v="2023-12-14T00:00:00"/>
    <x v="5"/>
    <n v="1417.34"/>
    <x v="2"/>
    <x v="6"/>
    <x v="0"/>
  </r>
  <r>
    <s v="Nirvi Seth"/>
    <s v="CA-2013-147368"/>
    <x v="9"/>
    <x v="11"/>
    <d v="2023-12-24T00:00:00"/>
    <x v="3"/>
    <n v="1228.29"/>
    <x v="1"/>
    <x v="1"/>
    <x v="0"/>
  </r>
  <r>
    <s v="Aarav Tiwari"/>
    <s v="CA-2013-169103"/>
    <x v="10"/>
    <x v="5"/>
    <d v="2024-02-04T00:00:00"/>
    <x v="7"/>
    <n v="1743.85"/>
    <x v="1"/>
    <x v="4"/>
    <x v="1"/>
  </r>
  <r>
    <s v="Raunak Singh"/>
    <s v="CA-2011-117345"/>
    <x v="10"/>
    <x v="5"/>
    <d v="2024-02-06T00:00:00"/>
    <x v="9"/>
    <n v="1686.07"/>
    <x v="0"/>
    <x v="0"/>
    <x v="1"/>
  </r>
  <r>
    <s v="Fateh Ahuja"/>
    <s v="CA-2013-113292"/>
    <x v="10"/>
    <x v="5"/>
    <d v="2024-02-08T00:00:00"/>
    <x v="5"/>
    <n v="734.76"/>
    <x v="1"/>
    <x v="7"/>
    <x v="2"/>
  </r>
  <r>
    <s v="Jayan Karan"/>
    <s v="CA-2012-153626"/>
    <x v="10"/>
    <x v="5"/>
    <d v="2024-02-10T00:00:00"/>
    <x v="9"/>
    <n v="995.28"/>
    <x v="0"/>
    <x v="1"/>
    <x v="0"/>
  </r>
  <r>
    <s v="Mehul Gara"/>
    <s v="CA-2013-112676"/>
    <x v="10"/>
    <x v="5"/>
    <d v="2024-02-15T00:00:00"/>
    <x v="0"/>
    <n v="1523.82"/>
    <x v="0"/>
    <x v="8"/>
    <x v="0"/>
  </r>
  <r>
    <s v="Vritika Sawhney"/>
    <s v="CA-2014-102309"/>
    <x v="10"/>
    <x v="6"/>
    <d v="2024-03-01T00:00:00"/>
    <x v="9"/>
    <n v="881.21"/>
    <x v="1"/>
    <x v="5"/>
    <x v="2"/>
  </r>
  <r>
    <s v="Advika Ravel"/>
    <s v="CA-2012-162201"/>
    <x v="10"/>
    <x v="6"/>
    <d v="2024-03-16T00:00:00"/>
    <x v="9"/>
    <n v="1800.2"/>
    <x v="1"/>
    <x v="2"/>
    <x v="0"/>
  </r>
  <r>
    <s v="Parinaaz Kota"/>
    <s v="CA-2012-147879"/>
    <x v="10"/>
    <x v="9"/>
    <d v="2024-04-09T00:00:00"/>
    <x v="1"/>
    <n v="785"/>
    <x v="1"/>
    <x v="3"/>
    <x v="0"/>
  </r>
  <r>
    <s v="Taimur Rau"/>
    <s v="CA-2013-105256"/>
    <x v="10"/>
    <x v="9"/>
    <d v="2024-04-17T00:00:00"/>
    <x v="7"/>
    <n v="1792.53"/>
    <x v="1"/>
    <x v="6"/>
    <x v="0"/>
  </r>
  <r>
    <s v="Yakshit Sehgal"/>
    <s v="CA-2013-100307"/>
    <x v="10"/>
    <x v="9"/>
    <d v="2024-04-26T00:00:00"/>
    <x v="6"/>
    <n v="1031.0999999999999"/>
    <x v="1"/>
    <x v="9"/>
    <x v="2"/>
  </r>
  <r>
    <s v="Hazel Swamy"/>
    <s v="CA-2011-162775"/>
    <x v="10"/>
    <x v="10"/>
    <d v="2024-05-04T00:00:00"/>
    <x v="5"/>
    <n v="595.35"/>
    <x v="0"/>
    <x v="6"/>
    <x v="2"/>
  </r>
  <r>
    <s v="Neelofar Mani"/>
    <s v="CA-2011-160773"/>
    <x v="10"/>
    <x v="7"/>
    <d v="2024-06-27T00:00:00"/>
    <x v="3"/>
    <n v="1559.04"/>
    <x v="1"/>
    <x v="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A475E9-828D-4FBF-BA1C-BD59E2082D9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10">
    <pivotField showAll="0"/>
    <pivotField showAll="0"/>
    <pivotField axis="axisRow" showAll="0">
      <items count="12">
        <item x="0"/>
        <item h="1" x="1"/>
        <item h="1" x="2"/>
        <item h="1" x="3"/>
        <item h="1" x="4"/>
        <item h="1" x="5"/>
        <item h="1" x="6"/>
        <item h="1" x="7"/>
        <item h="1" x="8"/>
        <item h="1" x="9"/>
        <item h="1" x="10"/>
        <item t="default"/>
      </items>
    </pivotField>
    <pivotField axis="axisRow" showAll="0">
      <items count="13">
        <item x="4"/>
        <item x="5"/>
        <item x="6"/>
        <item x="9"/>
        <item x="10"/>
        <item x="7"/>
        <item x="8"/>
        <item x="0"/>
        <item x="1"/>
        <item x="2"/>
        <item x="3"/>
        <item x="11"/>
        <item t="default"/>
      </items>
    </pivotField>
    <pivotField numFmtId="164" showAll="0"/>
    <pivotField showAll="0"/>
    <pivotField dataField="1" numFmtId="165" showAll="0"/>
    <pivotField showAll="0"/>
    <pivotField showAll="0"/>
    <pivotField showAll="0"/>
  </pivotFields>
  <rowFields count="2">
    <field x="2"/>
    <field x="3"/>
  </rowFields>
  <rowItems count="6">
    <i>
      <x/>
    </i>
    <i r="1">
      <x v="7"/>
    </i>
    <i r="1">
      <x v="8"/>
    </i>
    <i r="1">
      <x v="9"/>
    </i>
    <i r="1">
      <x v="10"/>
    </i>
    <i t="grand">
      <x/>
    </i>
  </rowItems>
  <colItems count="1">
    <i/>
  </colItems>
  <dataFields count="1">
    <dataField name="Sum of Amount Paid" fld="6" baseField="0" baseItem="0" numFmtId="165"/>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A02006-D020-4F28-9DB8-DCAC8AB39FF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0">
    <pivotField showAll="0"/>
    <pivotField dataField="1" showAll="0"/>
    <pivotField axis="axisRow" showAll="0">
      <items count="12">
        <item x="0"/>
        <item h="1" x="1"/>
        <item h="1" x="2"/>
        <item h="1" x="3"/>
        <item h="1" x="4"/>
        <item h="1" x="5"/>
        <item h="1" x="6"/>
        <item h="1" x="7"/>
        <item h="1" x="8"/>
        <item h="1" x="9"/>
        <item h="1" x="10"/>
        <item t="default"/>
      </items>
    </pivotField>
    <pivotField axis="axisRow" showAll="0">
      <items count="13">
        <item x="4"/>
        <item x="5"/>
        <item x="6"/>
        <item x="9"/>
        <item x="10"/>
        <item x="7"/>
        <item x="8"/>
        <item x="0"/>
        <item x="1"/>
        <item x="2"/>
        <item x="3"/>
        <item x="11"/>
        <item t="default"/>
      </items>
    </pivotField>
    <pivotField numFmtId="164" showAll="0"/>
    <pivotField showAll="0"/>
    <pivotField numFmtId="165" showAll="0"/>
    <pivotField showAll="0"/>
    <pivotField showAll="0"/>
    <pivotField showAll="0"/>
  </pivotFields>
  <rowFields count="2">
    <field x="2"/>
    <field x="3"/>
  </rowFields>
  <rowItems count="6">
    <i>
      <x/>
    </i>
    <i r="1">
      <x v="7"/>
    </i>
    <i r="1">
      <x v="8"/>
    </i>
    <i r="1">
      <x v="9"/>
    </i>
    <i r="1">
      <x v="10"/>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D4C65B-F312-4767-A0E6-050B90AFEAA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6" firstHeaderRow="0" firstDataRow="1" firstDataCol="1"/>
  <pivotFields count="10">
    <pivotField showAll="0"/>
    <pivotField dataField="1" showAll="0"/>
    <pivotField showAll="0">
      <items count="12">
        <item x="0"/>
        <item h="1" x="1"/>
        <item h="1" x="2"/>
        <item h="1" x="3"/>
        <item h="1" x="4"/>
        <item h="1" x="5"/>
        <item h="1" x="6"/>
        <item h="1" x="7"/>
        <item h="1" x="8"/>
        <item h="1" x="9"/>
        <item h="1" x="10"/>
        <item t="default"/>
      </items>
    </pivotField>
    <pivotField showAll="0"/>
    <pivotField numFmtId="164" showAll="0"/>
    <pivotField showAll="0"/>
    <pivotField dataField="1" numFmtId="165" showAll="0"/>
    <pivotField axis="axisRow" showAll="0">
      <items count="4">
        <item x="2"/>
        <item x="0"/>
        <item x="1"/>
        <item t="default"/>
      </items>
    </pivotField>
    <pivotField showAll="0"/>
    <pivotField showAll="0"/>
  </pivotFields>
  <rowFields count="1">
    <field x="7"/>
  </rowFields>
  <rowItems count="3">
    <i>
      <x v="1"/>
    </i>
    <i>
      <x v="2"/>
    </i>
    <i t="grand">
      <x/>
    </i>
  </rowItems>
  <colFields count="1">
    <field x="-2"/>
  </colFields>
  <colItems count="2">
    <i>
      <x/>
    </i>
    <i i="1">
      <x v="1"/>
    </i>
  </colItems>
  <dataFields count="2">
    <dataField name="Sum of Amount Paid" fld="6" baseField="0" baseItem="0" numFmtId="165"/>
    <dataField name="Count of order I'D" fld="1"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1"/>
          </reference>
          <reference field="7" count="1" selected="0">
            <x v="0"/>
          </reference>
        </references>
      </pivotArea>
    </chartFormat>
    <chartFormat chart="0" format="6">
      <pivotArea type="data" outline="0" fieldPosition="0">
        <references count="2">
          <reference field="4294967294" count="1" selected="0">
            <x v="1"/>
          </reference>
          <reference field="7" count="1" selected="0">
            <x v="1"/>
          </reference>
        </references>
      </pivotArea>
    </chartFormat>
    <chartFormat chart="0" format="7">
      <pivotArea type="data" outline="0" fieldPosition="0">
        <references count="2">
          <reference field="4294967294" count="1" selected="0">
            <x v="1"/>
          </reference>
          <reference field="7" count="1" selected="0">
            <x v="2"/>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7" count="1" selected="0">
            <x v="0"/>
          </reference>
        </references>
      </pivotArea>
    </chartFormat>
    <chartFormat chart="3" format="18">
      <pivotArea type="data" outline="0" fieldPosition="0">
        <references count="2">
          <reference field="4294967294" count="1" selected="0">
            <x v="0"/>
          </reference>
          <reference field="7" count="1" selected="0">
            <x v="1"/>
          </reference>
        </references>
      </pivotArea>
    </chartFormat>
    <chartFormat chart="3" format="19">
      <pivotArea type="data" outline="0" fieldPosition="0">
        <references count="2">
          <reference field="4294967294" count="1" selected="0">
            <x v="0"/>
          </reference>
          <reference field="7" count="1" selected="0">
            <x v="2"/>
          </reference>
        </references>
      </pivotArea>
    </chartFormat>
    <chartFormat chart="3" format="20" series="1">
      <pivotArea type="data" outline="0" fieldPosition="0">
        <references count="1">
          <reference field="4294967294" count="1" selected="0">
            <x v="1"/>
          </reference>
        </references>
      </pivotArea>
    </chartFormat>
    <chartFormat chart="3" format="21">
      <pivotArea type="data" outline="0" fieldPosition="0">
        <references count="2">
          <reference field="4294967294" count="1" selected="0">
            <x v="1"/>
          </reference>
          <reference field="7" count="1" selected="0">
            <x v="0"/>
          </reference>
        </references>
      </pivotArea>
    </chartFormat>
    <chartFormat chart="3" format="22">
      <pivotArea type="data" outline="0" fieldPosition="0">
        <references count="2">
          <reference field="4294967294" count="1" selected="0">
            <x v="1"/>
          </reference>
          <reference field="7" count="1" selected="0">
            <x v="1"/>
          </reference>
        </references>
      </pivotArea>
    </chartFormat>
    <chartFormat chart="3" format="23">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C2BAB4-3635-426E-9E5D-E1850174425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0">
    <pivotField showAll="0"/>
    <pivotField dataField="1" showAll="0"/>
    <pivotField showAll="0">
      <items count="12">
        <item x="0"/>
        <item h="1" x="1"/>
        <item h="1" x="2"/>
        <item h="1" x="3"/>
        <item h="1" x="4"/>
        <item h="1" x="5"/>
        <item h="1" x="6"/>
        <item h="1" x="7"/>
        <item h="1" x="8"/>
        <item h="1" x="9"/>
        <item h="1" x="10"/>
        <item t="default"/>
      </items>
    </pivotField>
    <pivotField showAll="0"/>
    <pivotField numFmtId="164" showAll="0"/>
    <pivotField showAll="0"/>
    <pivotField numFmtId="165" showAll="0"/>
    <pivotField showAll="0"/>
    <pivotField showAll="0"/>
    <pivotField axis="axisRow" showAll="0">
      <items count="4">
        <item x="2"/>
        <item x="0"/>
        <item x="1"/>
        <item t="default"/>
      </items>
    </pivotField>
  </pivotFields>
  <rowFields count="1">
    <field x="9"/>
  </rowFields>
  <rowItems count="4">
    <i>
      <x/>
    </i>
    <i>
      <x v="1"/>
    </i>
    <i>
      <x v="2"/>
    </i>
    <i t="grand">
      <x/>
    </i>
  </rowItems>
  <colItems count="1">
    <i/>
  </colItems>
  <dataFields count="1">
    <dataField name="Count of order I'D"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9" count="1" selected="0">
            <x v="0"/>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442341-7FFD-4015-B5A6-B34E61A0D29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9" firstHeaderRow="0" firstDataRow="1" firstDataCol="1"/>
  <pivotFields count="10">
    <pivotField showAll="0"/>
    <pivotField dataField="1" showAll="0"/>
    <pivotField showAll="0">
      <items count="12">
        <item x="0"/>
        <item h="1" x="1"/>
        <item h="1" x="2"/>
        <item h="1" x="3"/>
        <item h="1" x="4"/>
        <item h="1" x="5"/>
        <item h="1" x="6"/>
        <item h="1" x="7"/>
        <item h="1" x="8"/>
        <item h="1" x="9"/>
        <item h="1" x="10"/>
        <item t="default"/>
      </items>
    </pivotField>
    <pivotField showAll="0"/>
    <pivotField numFmtId="164" showAll="0"/>
    <pivotField axis="axisRow" showAll="0">
      <items count="11">
        <item x="9"/>
        <item x="6"/>
        <item x="5"/>
        <item x="1"/>
        <item x="3"/>
        <item x="0"/>
        <item x="7"/>
        <item x="8"/>
        <item x="4"/>
        <item x="2"/>
        <item t="default"/>
      </items>
    </pivotField>
    <pivotField dataField="1" numFmtId="165" showAll="0"/>
    <pivotField showAll="0"/>
    <pivotField showAll="0"/>
    <pivotField showAll="0"/>
  </pivotFields>
  <rowFields count="1">
    <field x="5"/>
  </rowFields>
  <rowItems count="6">
    <i>
      <x v="3"/>
    </i>
    <i>
      <x v="4"/>
    </i>
    <i>
      <x v="5"/>
    </i>
    <i>
      <x v="8"/>
    </i>
    <i>
      <x v="9"/>
    </i>
    <i t="grand">
      <x/>
    </i>
  </rowItems>
  <colFields count="1">
    <field x="-2"/>
  </colFields>
  <colItems count="2">
    <i>
      <x/>
    </i>
    <i i="1">
      <x v="1"/>
    </i>
  </colItems>
  <dataFields count="2">
    <dataField name="Count of order I'D" fld="1" subtotal="count" baseField="0" baseItem="0"/>
    <dataField name="Sum of Amount Paid" fld="6" baseField="0" baseItem="0" numFmtId="165"/>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A5159A-C868-4C4A-9535-4316EF1371A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0" firstHeaderRow="0" firstDataRow="1" firstDataCol="1"/>
  <pivotFields count="10">
    <pivotField showAll="0"/>
    <pivotField dataField="1" showAll="0"/>
    <pivotField showAll="0">
      <items count="12">
        <item x="0"/>
        <item h="1" x="1"/>
        <item h="1" x="2"/>
        <item h="1" x="3"/>
        <item h="1" x="4"/>
        <item h="1" x="5"/>
        <item h="1" x="6"/>
        <item h="1" x="7"/>
        <item h="1" x="8"/>
        <item h="1" x="9"/>
        <item h="1" x="10"/>
        <item t="default"/>
      </items>
    </pivotField>
    <pivotField showAll="0"/>
    <pivotField numFmtId="164" showAll="0"/>
    <pivotField showAll="0">
      <items count="11">
        <item x="9"/>
        <item x="6"/>
        <item x="5"/>
        <item x="1"/>
        <item x="3"/>
        <item x="0"/>
        <item x="7"/>
        <item x="8"/>
        <item x="4"/>
        <item x="2"/>
        <item t="default"/>
      </items>
    </pivotField>
    <pivotField dataField="1" numFmtId="165" showAll="0"/>
    <pivotField showAll="0"/>
    <pivotField axis="axisRow" showAll="0">
      <items count="11">
        <item x="4"/>
        <item x="2"/>
        <item x="3"/>
        <item x="9"/>
        <item x="5"/>
        <item x="8"/>
        <item x="7"/>
        <item x="0"/>
        <item x="1"/>
        <item x="6"/>
        <item t="default"/>
      </items>
    </pivotField>
    <pivotField showAll="0"/>
  </pivotFields>
  <rowFields count="1">
    <field x="8"/>
  </rowFields>
  <rowItems count="7">
    <i>
      <x/>
    </i>
    <i>
      <x v="1"/>
    </i>
    <i>
      <x v="2"/>
    </i>
    <i>
      <x v="4"/>
    </i>
    <i>
      <x v="7"/>
    </i>
    <i>
      <x v="8"/>
    </i>
    <i t="grand">
      <x/>
    </i>
  </rowItems>
  <colFields count="1">
    <field x="-2"/>
  </colFields>
  <colItems count="2">
    <i>
      <x/>
    </i>
    <i i="1">
      <x v="1"/>
    </i>
  </colItems>
  <dataFields count="2">
    <dataField name="Count of order I'D" fld="1" subtotal="count" baseField="0" baseItem="0"/>
    <dataField name="Sum of Amount Paid" fld="6"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Year" xr10:uid="{CA1B6D4F-76B4-464C-B6D8-ACDB79A83443}" sourceName="Purchase Year">
  <pivotTables>
    <pivotTable tabId="11" name="PivotTable5"/>
    <pivotTable tabId="13" name="PivotTable6"/>
    <pivotTable tabId="16" name="PivotTable9"/>
    <pivotTable tabId="17" name="PivotTable10"/>
    <pivotTable tabId="20" name="PivotTable13"/>
    <pivotTable tabId="19" name="PivotTable12"/>
  </pivotTables>
  <data>
    <tabular pivotCacheId="2078033252">
      <items count="11">
        <i x="0" s="1"/>
        <i x="1"/>
        <i x="2"/>
        <i x="3"/>
        <i x="4"/>
        <i x="5"/>
        <i x="6"/>
        <i x="7"/>
        <i x="8"/>
        <i x="9"/>
        <i x="1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Purchased" xr10:uid="{A658B339-D0F8-4DE2-92CB-CF4CD0DB501D}" sourceName="Product Purchased">
  <pivotTables>
    <pivotTable tabId="19" name="PivotTable12"/>
  </pivotTables>
  <data>
    <tabular pivotCacheId="2078033252">
      <items count="10">
        <i x="1" s="1"/>
        <i x="3" s="1"/>
        <i x="0" s="1"/>
        <i x="4" s="1"/>
        <i x="2" s="1"/>
        <i x="9" s="1" nd="1"/>
        <i x="6" s="1" nd="1"/>
        <i x="5" s="1" nd="1"/>
        <i x="7" s="1" nd="1"/>
        <i x="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850C887-A4EB-44FD-B413-E7B2B37BFE2E}" sourceName="City">
  <pivotTables>
    <pivotTable tabId="20" name="PivotTable13"/>
  </pivotTables>
  <data>
    <tabular pivotCacheId="2078033252">
      <items count="10">
        <i x="4" s="1"/>
        <i x="2" s="1"/>
        <i x="3" s="1"/>
        <i x="5" s="1"/>
        <i x="0" s="1"/>
        <i x="1" s="1"/>
        <i x="9" s="1" nd="1"/>
        <i x="8" s="1" nd="1"/>
        <i x="7"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Year" xr10:uid="{F4731473-242B-491A-B55A-8F95F4954B5D}" cache="Slicer_Purchase_Year" caption="Purchase Year" columnCount="3"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Year 2" xr10:uid="{F19CC7A5-2728-425E-9558-2B2CE82D755A}" cache="Slicer_Purchase_Year" caption="Purchase Year" columnCount="3" rowHeight="360000"/>
  <slicer name="Product Purchased" xr10:uid="{0753BB12-4B48-4BD5-9D31-FC4973C0BFEC}" cache="Slicer_Product_Purchased" caption="Product Purchased" columnCount="3" rowHeight="54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Year 3" xr10:uid="{F1D7D910-283D-4C19-A300-7A0821BD7FD0}" cache="Slicer_Purchase_Year" caption="Purchase Year" columnCount="3" rowHeight="360000"/>
  <slicer name="City" xr10:uid="{1E08E444-7EF6-4EF1-AB95-C9E71DDA1476}" cache="Slicer_City" caption="City" columnCount="3" rowHeight="540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Year 1" xr10:uid="{47C2E502-49BF-446E-BD3A-FE27004502CC}" cache="Slicer_Purchase_Year" caption="Purchase Year" columnCount="3"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722A3C-AF57-4386-9A7A-AED056329DB8}" name="Table2" displayName="Table2" ref="A1:J245" totalsRowShown="0" headerRowDxfId="11" dataDxfId="10">
  <autoFilter ref="A1:J245" xr:uid="{36722A3C-AF57-4386-9A7A-AED056329DB8}"/>
  <sortState xmlns:xlrd2="http://schemas.microsoft.com/office/spreadsheetml/2017/richdata2" ref="A2:J245">
    <sortCondition ref="E1:E245"/>
  </sortState>
  <tableColumns count="10">
    <tableColumn id="1" xr3:uid="{19167A01-F80B-4EA9-A85E-F65164E1A7E1}" name="Full Name" dataDxfId="9"/>
    <tableColumn id="2" xr3:uid="{A6C70326-CCF6-4769-817C-78877790DD92}" name="order I'D" dataDxfId="8"/>
    <tableColumn id="10" xr3:uid="{7B2DDC1C-A8A0-469A-B4B2-105B13A7EF9B}" name="Purchase Year" dataDxfId="7">
      <calculatedColumnFormula>YEAR(E2)</calculatedColumnFormula>
    </tableColumn>
    <tableColumn id="9" xr3:uid="{2198FF3C-178A-41EA-8133-1311537C7FA7}" name="Purchase Month" dataDxfId="6">
      <calculatedColumnFormula>MONTH(Table2[[#This Row],[Purchase Date]])</calculatedColumnFormula>
    </tableColumn>
    <tableColumn id="3" xr3:uid="{F372F5C9-575F-4F26-B268-D133DC79EBF3}" name="Purchase Date" dataDxfId="5"/>
    <tableColumn id="4" xr3:uid="{604F9ABC-241D-41EE-864F-2898F5142BB7}" name="Product Purchased" dataDxfId="4"/>
    <tableColumn id="5" xr3:uid="{AEE2220D-FDDE-4B42-95E7-DC78DFB2F5E5}" name="Amount Paid" dataDxfId="3"/>
    <tableColumn id="6" xr3:uid="{993465A2-A476-40EB-9A19-FD804638B0A4}" name="Payment Status" dataDxfId="2"/>
    <tableColumn id="7" xr3:uid="{DEB35063-2E59-47B5-A990-FEE5E024A69A}" name="City" dataDxfId="1"/>
    <tableColumn id="8" xr3:uid="{AB2DB0FA-2FD8-4AD8-9FC4-76BA7FC92E64}" name="Delivery Statu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12238B5C-CC8F-418F-8CD8-F0508C58C05F}">
  <we:reference id="wa200009404" version="1.0.0.8" store="en-US" storeType="OMEX"/>
  <we:alternateReferences>
    <we:reference id="wa200009404" version="1.0.0.8" store="wa200009404" storeType="OMEX"/>
  </we:alternateReferences>
  <we:properties>
    <we:property name="claude.fileId" value="&quot;6894a2f6-9686-4a0b-8a94-9669054a1f50&quot;"/>
  </we:properties>
  <we:bindings/>
  <we:snapshot xmlns:r="http://schemas.openxmlformats.org/officeDocument/2006/relationships"/>
</we:webextension>
</file>

<file path=xl/webextensions/webextension2.xml><?xml version="1.0" encoding="utf-8"?>
<we:webextension xmlns:we="http://schemas.microsoft.com/office/webextensions/webextension/2010/11" id="{2DD6EF04-74CB-40B5-A2C5-B89575AF522A}">
  <we:reference id="wa200005502" version="1.0.0.12" store="en-US" storeType="OMEX"/>
  <we:alternateReferences>
    <we:reference id="WA200005502" version="1.0.0.12" store="" storeType="OMEX"/>
  </we:alternateReferences>
  <we:properties>
    <we:property name="docId" value="&quot;mbwJ88h0HIgqs4LSXR49l&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582F2-643B-4859-8E8E-A112CC2E9774}">
  <sheetPr codeName="Sheet1">
    <tabColor rgb="FFFF0000"/>
  </sheetPr>
  <dimension ref="A1:I543"/>
  <sheetViews>
    <sheetView zoomScale="145" zoomScaleNormal="145" workbookViewId="0">
      <selection activeCell="S92" sqref="S92"/>
    </sheetView>
  </sheetViews>
  <sheetFormatPr defaultRowHeight="14.4" x14ac:dyDescent="0.3"/>
  <cols>
    <col min="1" max="1" width="17.5546875" customWidth="1"/>
    <col min="2" max="2" width="10.88671875" customWidth="1"/>
    <col min="3" max="3" width="18.33203125" customWidth="1"/>
    <col min="4" max="4" width="19.44140625" style="1" customWidth="1"/>
    <col min="5" max="5" width="12.5546875" customWidth="1"/>
    <col min="6" max="6" width="13.109375" customWidth="1"/>
    <col min="7" max="7" width="13.5546875" customWidth="1"/>
    <col min="8" max="8" width="14.44140625" customWidth="1"/>
    <col min="9" max="9" width="12.6640625" customWidth="1"/>
  </cols>
  <sheetData>
    <row r="1" spans="1:9" x14ac:dyDescent="0.3">
      <c r="A1" s="28" t="s">
        <v>1229</v>
      </c>
      <c r="B1" s="28"/>
      <c r="C1" s="28"/>
      <c r="D1" s="38"/>
      <c r="E1" s="8" t="s">
        <v>1146</v>
      </c>
      <c r="F1" s="8" t="s">
        <v>1147</v>
      </c>
      <c r="G1" s="8" t="s">
        <v>1148</v>
      </c>
      <c r="H1" s="8" t="s">
        <v>1149</v>
      </c>
      <c r="I1" s="8" t="s">
        <v>1150</v>
      </c>
    </row>
    <row r="2" spans="1:9" x14ac:dyDescent="0.3">
      <c r="C2" t="s">
        <v>616</v>
      </c>
      <c r="D2" s="1">
        <v>41963</v>
      </c>
      <c r="E2" t="s">
        <v>1152</v>
      </c>
      <c r="F2">
        <v>498.68</v>
      </c>
      <c r="G2" t="s">
        <v>1174</v>
      </c>
      <c r="H2" t="s">
        <v>1191</v>
      </c>
      <c r="I2" s="33" t="s">
        <v>1180</v>
      </c>
    </row>
    <row r="3" spans="1:9" x14ac:dyDescent="0.3">
      <c r="A3" t="s">
        <v>1212</v>
      </c>
      <c r="B3" t="s">
        <v>1221</v>
      </c>
      <c r="C3" s="3" t="s">
        <v>617</v>
      </c>
      <c r="D3" s="1">
        <v>41888</v>
      </c>
      <c r="E3" s="29" t="s">
        <v>1245</v>
      </c>
      <c r="F3">
        <v>738.76</v>
      </c>
      <c r="G3" t="s">
        <v>1175</v>
      </c>
      <c r="H3" t="s">
        <v>1190</v>
      </c>
      <c r="I3" s="33" t="s">
        <v>1177</v>
      </c>
    </row>
    <row r="4" spans="1:9" x14ac:dyDescent="0.3">
      <c r="A4" t="s">
        <v>1211</v>
      </c>
      <c r="B4" t="s">
        <v>1220</v>
      </c>
      <c r="C4" t="s">
        <v>618</v>
      </c>
      <c r="D4" s="1">
        <v>44796</v>
      </c>
      <c r="E4" s="30" t="s">
        <v>1246</v>
      </c>
      <c r="F4" s="5">
        <v>1228.47</v>
      </c>
      <c r="G4" t="s">
        <v>1175</v>
      </c>
      <c r="H4" s="7" t="s">
        <v>1202</v>
      </c>
      <c r="I4" s="33" t="s">
        <v>1179</v>
      </c>
    </row>
    <row r="5" spans="1:9" x14ac:dyDescent="0.3">
      <c r="A5" t="s">
        <v>2</v>
      </c>
      <c r="C5" t="s">
        <v>619</v>
      </c>
      <c r="D5" s="1">
        <v>43011</v>
      </c>
      <c r="E5" s="30" t="s">
        <v>1207</v>
      </c>
      <c r="F5">
        <v>1744.08</v>
      </c>
      <c r="G5" t="s">
        <v>1171</v>
      </c>
      <c r="H5" s="7" t="s">
        <v>1201</v>
      </c>
      <c r="I5" s="33" t="s">
        <v>1180</v>
      </c>
    </row>
    <row r="6" spans="1:9" x14ac:dyDescent="0.3">
      <c r="A6" s="2" t="s">
        <v>3</v>
      </c>
      <c r="B6" t="s">
        <v>1203</v>
      </c>
      <c r="C6" t="s">
        <v>1231</v>
      </c>
      <c r="D6" s="44">
        <v>44647</v>
      </c>
      <c r="E6" s="31" t="s">
        <v>1254</v>
      </c>
      <c r="F6">
        <v>164.13</v>
      </c>
      <c r="G6" t="s">
        <v>1172</v>
      </c>
      <c r="H6" s="7" t="s">
        <v>1191</v>
      </c>
      <c r="I6" s="33" t="s">
        <v>1196</v>
      </c>
    </row>
    <row r="7" spans="1:9" x14ac:dyDescent="0.3">
      <c r="A7" s="2" t="s">
        <v>5</v>
      </c>
      <c r="B7" t="s">
        <v>1218</v>
      </c>
      <c r="C7" t="s">
        <v>620</v>
      </c>
      <c r="D7" s="44">
        <v>42379</v>
      </c>
      <c r="E7" s="30" t="s">
        <v>1154</v>
      </c>
      <c r="F7">
        <v>584.97</v>
      </c>
      <c r="G7" t="s">
        <v>1176</v>
      </c>
      <c r="H7" s="7" t="s">
        <v>1186</v>
      </c>
      <c r="I7" s="10"/>
    </row>
    <row r="8" spans="1:9" x14ac:dyDescent="0.3">
      <c r="A8" t="s">
        <v>1210</v>
      </c>
      <c r="B8" t="s">
        <v>7</v>
      </c>
      <c r="C8" s="9" t="s">
        <v>621</v>
      </c>
      <c r="D8" s="44">
        <v>45585</v>
      </c>
      <c r="E8" s="29" t="s">
        <v>1169</v>
      </c>
      <c r="H8" s="7" t="s">
        <v>1181</v>
      </c>
      <c r="I8" s="10" t="s">
        <v>1185</v>
      </c>
    </row>
    <row r="9" spans="1:9" x14ac:dyDescent="0.3">
      <c r="A9" t="s">
        <v>8</v>
      </c>
      <c r="B9" t="s">
        <v>1217</v>
      </c>
      <c r="C9" s="10" t="s">
        <v>622</v>
      </c>
      <c r="D9" s="44">
        <v>43016</v>
      </c>
      <c r="E9" s="29" t="s">
        <v>1158</v>
      </c>
      <c r="F9">
        <v>587.97</v>
      </c>
      <c r="G9" t="s">
        <v>1175</v>
      </c>
      <c r="H9" t="s">
        <v>1200</v>
      </c>
      <c r="I9" s="10"/>
    </row>
    <row r="10" spans="1:9" x14ac:dyDescent="0.3">
      <c r="A10" t="s">
        <v>1209</v>
      </c>
      <c r="B10" t="s">
        <v>1219</v>
      </c>
      <c r="C10" s="9" t="s">
        <v>623</v>
      </c>
      <c r="D10" s="44">
        <v>42482</v>
      </c>
      <c r="E10" s="29" t="s">
        <v>1238</v>
      </c>
      <c r="F10" s="5">
        <v>267.58</v>
      </c>
      <c r="G10" t="s">
        <v>1171</v>
      </c>
      <c r="H10" t="s">
        <v>1189</v>
      </c>
      <c r="I10" s="10" t="s">
        <v>1180</v>
      </c>
    </row>
    <row r="11" spans="1:9" x14ac:dyDescent="0.3">
      <c r="A11" t="s">
        <v>1209</v>
      </c>
      <c r="B11" t="s">
        <v>1219</v>
      </c>
      <c r="C11" s="9" t="s">
        <v>623</v>
      </c>
      <c r="D11" s="44">
        <v>42482</v>
      </c>
      <c r="E11" s="29" t="s">
        <v>1238</v>
      </c>
      <c r="F11" s="5">
        <v>267.58</v>
      </c>
      <c r="G11" t="s">
        <v>1171</v>
      </c>
      <c r="H11" t="s">
        <v>1189</v>
      </c>
      <c r="I11" s="10" t="s">
        <v>1180</v>
      </c>
    </row>
    <row r="12" spans="1:9" x14ac:dyDescent="0.3">
      <c r="A12" t="s">
        <v>10</v>
      </c>
      <c r="B12" t="s">
        <v>1227</v>
      </c>
      <c r="C12" s="10" t="s">
        <v>624</v>
      </c>
      <c r="D12" s="1">
        <v>42857</v>
      </c>
      <c r="E12" s="32" t="s">
        <v>1162</v>
      </c>
      <c r="F12">
        <v>1323.02</v>
      </c>
      <c r="G12" s="3" t="s">
        <v>1173</v>
      </c>
      <c r="H12" t="s">
        <v>1191</v>
      </c>
      <c r="I12" s="10" t="s">
        <v>1196</v>
      </c>
    </row>
    <row r="13" spans="1:9" x14ac:dyDescent="0.3">
      <c r="B13" t="s">
        <v>11</v>
      </c>
      <c r="C13" s="10" t="s">
        <v>625</v>
      </c>
      <c r="D13" s="1">
        <v>42858</v>
      </c>
      <c r="E13" s="29" t="s">
        <v>1159</v>
      </c>
      <c r="F13">
        <v>1400.9</v>
      </c>
      <c r="G13" t="s">
        <v>1171</v>
      </c>
      <c r="H13" t="s">
        <v>1193</v>
      </c>
      <c r="I13" s="10" t="s">
        <v>1177</v>
      </c>
    </row>
    <row r="14" spans="1:9" x14ac:dyDescent="0.3">
      <c r="C14" s="12" t="s">
        <v>626</v>
      </c>
      <c r="D14" s="1">
        <v>42852</v>
      </c>
      <c r="E14" t="s">
        <v>1151</v>
      </c>
      <c r="F14">
        <v>1587.5</v>
      </c>
      <c r="G14" t="s">
        <v>1172</v>
      </c>
      <c r="H14" t="s">
        <v>1186</v>
      </c>
      <c r="I14" s="11" t="s">
        <v>1177</v>
      </c>
    </row>
    <row r="15" spans="1:9" x14ac:dyDescent="0.3">
      <c r="A15" t="s">
        <v>1213</v>
      </c>
      <c r="B15" t="s">
        <v>12</v>
      </c>
      <c r="C15" t="s">
        <v>627</v>
      </c>
      <c r="D15" s="1">
        <v>42853</v>
      </c>
      <c r="F15">
        <v>1471.32</v>
      </c>
      <c r="G15" t="s">
        <v>1171</v>
      </c>
      <c r="H15" t="s">
        <v>1192</v>
      </c>
      <c r="I15" s="11" t="s">
        <v>1185</v>
      </c>
    </row>
    <row r="16" spans="1:9" x14ac:dyDescent="0.3">
      <c r="A16" s="19" t="s">
        <v>13</v>
      </c>
      <c r="B16" s="19"/>
      <c r="C16" s="19" t="s">
        <v>628</v>
      </c>
      <c r="D16" s="21">
        <v>44735</v>
      </c>
      <c r="E16" s="19" t="s">
        <v>1164</v>
      </c>
      <c r="F16" s="19"/>
      <c r="G16" s="19" t="s">
        <v>1171</v>
      </c>
      <c r="H16" s="19" t="s">
        <v>1201</v>
      </c>
      <c r="I16" s="20" t="s">
        <v>1183</v>
      </c>
    </row>
    <row r="17" spans="1:9" x14ac:dyDescent="0.3">
      <c r="A17" s="19" t="s">
        <v>14</v>
      </c>
      <c r="B17" s="19" t="s">
        <v>1204</v>
      </c>
      <c r="C17" s="19" t="s">
        <v>1235</v>
      </c>
      <c r="D17" s="21">
        <v>44570</v>
      </c>
      <c r="E17" s="19" t="s">
        <v>1159</v>
      </c>
      <c r="F17" s="19"/>
      <c r="G17" s="22" t="s">
        <v>1171</v>
      </c>
      <c r="H17" s="19" t="s">
        <v>1192</v>
      </c>
      <c r="I17" s="23" t="s">
        <v>1180</v>
      </c>
    </row>
    <row r="18" spans="1:9" x14ac:dyDescent="0.3">
      <c r="A18" s="19" t="s">
        <v>16</v>
      </c>
      <c r="B18" s="19" t="s">
        <v>17</v>
      </c>
      <c r="C18" s="19" t="s">
        <v>629</v>
      </c>
      <c r="D18" s="45">
        <v>43887</v>
      </c>
      <c r="E18" s="22" t="s">
        <v>1166</v>
      </c>
      <c r="F18" s="19">
        <v>1637.88</v>
      </c>
      <c r="G18" s="19" t="s">
        <v>1173</v>
      </c>
      <c r="H18" s="19" t="s">
        <v>1198</v>
      </c>
      <c r="I18" s="23" t="s">
        <v>1196</v>
      </c>
    </row>
    <row r="19" spans="1:9" x14ac:dyDescent="0.3">
      <c r="A19" s="19" t="s">
        <v>18</v>
      </c>
      <c r="B19" s="19" t="s">
        <v>1205</v>
      </c>
      <c r="C19" s="22" t="s">
        <v>630</v>
      </c>
      <c r="D19" s="45">
        <v>43888</v>
      </c>
      <c r="E19" s="19" t="s">
        <v>1158</v>
      </c>
      <c r="F19" s="19">
        <v>371.93</v>
      </c>
      <c r="G19" s="24" t="s">
        <v>1174</v>
      </c>
      <c r="H19" s="19" t="s">
        <v>1189</v>
      </c>
      <c r="I19" s="23"/>
    </row>
    <row r="20" spans="1:9" x14ac:dyDescent="0.3">
      <c r="A20" s="19" t="s">
        <v>20</v>
      </c>
      <c r="B20" s="19" t="s">
        <v>1208</v>
      </c>
      <c r="C20" s="19" t="s">
        <v>631</v>
      </c>
      <c r="D20" s="45">
        <v>43644</v>
      </c>
      <c r="E20" s="19" t="s">
        <v>1169</v>
      </c>
      <c r="F20" s="19">
        <v>1592.57</v>
      </c>
      <c r="G20" s="24" t="s">
        <v>1171</v>
      </c>
      <c r="H20" s="19" t="s">
        <v>1194</v>
      </c>
      <c r="I20" s="19" t="s">
        <v>1183</v>
      </c>
    </row>
    <row r="21" spans="1:9" x14ac:dyDescent="0.3">
      <c r="A21" s="19" t="s">
        <v>22</v>
      </c>
      <c r="B21" s="19" t="s">
        <v>23</v>
      </c>
      <c r="C21" s="19" t="s">
        <v>632</v>
      </c>
      <c r="D21" s="45">
        <v>43645</v>
      </c>
      <c r="E21" s="25" t="s">
        <v>1153</v>
      </c>
      <c r="F21" s="19">
        <v>76.81</v>
      </c>
      <c r="G21" s="24" t="s">
        <v>1175</v>
      </c>
      <c r="H21" s="25" t="s">
        <v>1186</v>
      </c>
      <c r="I21" s="19"/>
    </row>
    <row r="22" spans="1:9" x14ac:dyDescent="0.3">
      <c r="A22" s="19" t="s">
        <v>20</v>
      </c>
      <c r="B22" s="19"/>
      <c r="C22" s="19" t="s">
        <v>633</v>
      </c>
      <c r="D22" s="45">
        <v>42822</v>
      </c>
      <c r="E22" s="19" t="s">
        <v>1167</v>
      </c>
      <c r="F22" s="26">
        <v>1659.26</v>
      </c>
      <c r="G22" s="24" t="s">
        <v>1175</v>
      </c>
      <c r="H22" s="25" t="s">
        <v>1187</v>
      </c>
      <c r="I22" s="19" t="s">
        <v>1177</v>
      </c>
    </row>
    <row r="23" spans="1:9" x14ac:dyDescent="0.3">
      <c r="A23" s="19" t="s">
        <v>24</v>
      </c>
      <c r="B23" s="19" t="s">
        <v>25</v>
      </c>
      <c r="C23" s="19" t="s">
        <v>634</v>
      </c>
      <c r="D23" s="21">
        <v>42823</v>
      </c>
      <c r="E23" s="22" t="s">
        <v>1153</v>
      </c>
      <c r="F23" s="19">
        <v>1043.02</v>
      </c>
      <c r="G23" s="27" t="s">
        <v>1171</v>
      </c>
      <c r="H23" s="25" t="s">
        <v>1193</v>
      </c>
      <c r="I23" s="19"/>
    </row>
    <row r="24" spans="1:9" x14ac:dyDescent="0.3">
      <c r="A24" t="s">
        <v>26</v>
      </c>
      <c r="B24" t="s">
        <v>373</v>
      </c>
      <c r="C24" s="3" t="s">
        <v>635</v>
      </c>
      <c r="D24" s="4">
        <v>45226</v>
      </c>
      <c r="E24" t="s">
        <v>1253</v>
      </c>
      <c r="F24">
        <v>1549.79</v>
      </c>
      <c r="G24" s="13" t="s">
        <v>1175</v>
      </c>
      <c r="H24" s="4" t="s">
        <v>1188</v>
      </c>
      <c r="I24" t="s">
        <v>1183</v>
      </c>
    </row>
    <row r="25" spans="1:9" x14ac:dyDescent="0.3">
      <c r="A25" s="35" t="s">
        <v>28</v>
      </c>
      <c r="B25" t="s">
        <v>1222</v>
      </c>
      <c r="C25" t="s">
        <v>636</v>
      </c>
      <c r="D25" s="4">
        <v>43074</v>
      </c>
      <c r="E25" t="s">
        <v>1165</v>
      </c>
      <c r="G25" t="s">
        <v>1175</v>
      </c>
      <c r="H25" s="4" t="s">
        <v>1199</v>
      </c>
      <c r="I25" t="s">
        <v>1183</v>
      </c>
    </row>
    <row r="26" spans="1:9" x14ac:dyDescent="0.3">
      <c r="A26" s="35" t="s">
        <v>30</v>
      </c>
      <c r="B26" t="s">
        <v>1223</v>
      </c>
      <c r="C26" t="s">
        <v>637</v>
      </c>
      <c r="D26" s="4">
        <v>43075</v>
      </c>
      <c r="E26" t="s">
        <v>1165</v>
      </c>
      <c r="G26" t="s">
        <v>1175</v>
      </c>
      <c r="H26" t="s">
        <v>1199</v>
      </c>
      <c r="I26" s="3" t="s">
        <v>1196</v>
      </c>
    </row>
    <row r="27" spans="1:9" x14ac:dyDescent="0.3">
      <c r="A27" s="35" t="s">
        <v>32</v>
      </c>
      <c r="B27" t="s">
        <v>33</v>
      </c>
      <c r="C27" t="s">
        <v>638</v>
      </c>
      <c r="D27" s="25">
        <v>42760</v>
      </c>
      <c r="F27">
        <v>893.33</v>
      </c>
      <c r="H27" t="s">
        <v>1186</v>
      </c>
      <c r="I27" s="3" t="s">
        <v>1177</v>
      </c>
    </row>
    <row r="28" spans="1:9" x14ac:dyDescent="0.3">
      <c r="A28" s="35" t="s">
        <v>34</v>
      </c>
      <c r="B28" t="s">
        <v>1230</v>
      </c>
      <c r="C28" s="3" t="s">
        <v>639</v>
      </c>
      <c r="D28" s="25">
        <v>42197</v>
      </c>
      <c r="E28" t="s">
        <v>1169</v>
      </c>
      <c r="F28">
        <v>1556.99</v>
      </c>
      <c r="G28" t="s">
        <v>1171</v>
      </c>
      <c r="H28" t="s">
        <v>1200</v>
      </c>
      <c r="I28" s="3" t="s">
        <v>1196</v>
      </c>
    </row>
    <row r="29" spans="1:9" x14ac:dyDescent="0.3">
      <c r="A29" s="35" t="s">
        <v>34</v>
      </c>
      <c r="B29" t="s">
        <v>1230</v>
      </c>
      <c r="C29" s="3" t="s">
        <v>639</v>
      </c>
      <c r="D29" s="25">
        <v>42197</v>
      </c>
      <c r="E29" t="s">
        <v>1169</v>
      </c>
      <c r="F29">
        <v>1556.99</v>
      </c>
      <c r="G29" t="s">
        <v>1171</v>
      </c>
      <c r="H29" t="s">
        <v>1200</v>
      </c>
      <c r="I29" s="3" t="s">
        <v>1196</v>
      </c>
    </row>
    <row r="30" spans="1:9" x14ac:dyDescent="0.3">
      <c r="A30" s="35" t="s">
        <v>35</v>
      </c>
      <c r="C30" s="3" t="s">
        <v>640</v>
      </c>
      <c r="D30" s="25">
        <v>44685</v>
      </c>
      <c r="E30" s="3" t="s">
        <v>1152</v>
      </c>
      <c r="F30">
        <v>1137.6600000000001</v>
      </c>
      <c r="G30" t="s">
        <v>1173</v>
      </c>
      <c r="H30" t="s">
        <v>1194</v>
      </c>
      <c r="I30" s="3" t="s">
        <v>1196</v>
      </c>
    </row>
    <row r="31" spans="1:9" x14ac:dyDescent="0.3">
      <c r="A31" t="s">
        <v>36</v>
      </c>
      <c r="B31" t="s">
        <v>37</v>
      </c>
      <c r="C31" s="5" t="s">
        <v>641</v>
      </c>
      <c r="D31" s="25">
        <v>44611</v>
      </c>
      <c r="E31" t="s">
        <v>1166</v>
      </c>
      <c r="F31">
        <v>1055.32</v>
      </c>
      <c r="G31" t="s">
        <v>1173</v>
      </c>
      <c r="H31" t="s">
        <v>1193</v>
      </c>
      <c r="I31" s="3" t="s">
        <v>1196</v>
      </c>
    </row>
    <row r="32" spans="1:9" x14ac:dyDescent="0.3">
      <c r="A32" t="s">
        <v>1224</v>
      </c>
      <c r="B32" t="s">
        <v>39</v>
      </c>
      <c r="C32" s="9" t="s">
        <v>642</v>
      </c>
      <c r="D32" s="25">
        <v>42358</v>
      </c>
      <c r="E32" t="s">
        <v>1241</v>
      </c>
      <c r="F32">
        <v>242.79</v>
      </c>
      <c r="H32" t="s">
        <v>1189</v>
      </c>
      <c r="I32" s="3" t="s">
        <v>1185</v>
      </c>
    </row>
    <row r="33" spans="1:9" x14ac:dyDescent="0.3">
      <c r="A33" t="s">
        <v>40</v>
      </c>
      <c r="B33" t="s">
        <v>41</v>
      </c>
      <c r="C33" s="10" t="s">
        <v>643</v>
      </c>
      <c r="D33" s="43"/>
      <c r="F33">
        <v>1266.32</v>
      </c>
      <c r="G33" t="s">
        <v>1171</v>
      </c>
      <c r="H33" t="s">
        <v>1195</v>
      </c>
      <c r="I33" s="3" t="s">
        <v>1185</v>
      </c>
    </row>
    <row r="34" spans="1:9" x14ac:dyDescent="0.3">
      <c r="A34" t="s">
        <v>1214</v>
      </c>
      <c r="B34" t="s">
        <v>43</v>
      </c>
      <c r="C34" s="10" t="s">
        <v>644</v>
      </c>
      <c r="D34" s="43"/>
      <c r="E34" t="s">
        <v>1240</v>
      </c>
      <c r="G34" t="s">
        <v>1176</v>
      </c>
      <c r="H34" t="s">
        <v>1197</v>
      </c>
      <c r="I34" s="3" t="s">
        <v>1177</v>
      </c>
    </row>
    <row r="35" spans="1:9" x14ac:dyDescent="0.3">
      <c r="A35" t="s">
        <v>1215</v>
      </c>
      <c r="B35" t="s">
        <v>1206</v>
      </c>
      <c r="C35" s="10" t="s">
        <v>645</v>
      </c>
      <c r="D35" s="43">
        <v>44020</v>
      </c>
      <c r="E35" t="s">
        <v>1247</v>
      </c>
      <c r="F35">
        <v>806.94</v>
      </c>
      <c r="G35" t="s">
        <v>1172</v>
      </c>
      <c r="H35" t="s">
        <v>1190</v>
      </c>
      <c r="I35" s="3" t="s">
        <v>1179</v>
      </c>
    </row>
    <row r="36" spans="1:9" x14ac:dyDescent="0.3">
      <c r="B36" t="s">
        <v>45</v>
      </c>
      <c r="C36" t="s">
        <v>646</v>
      </c>
      <c r="D36" s="43">
        <v>44661</v>
      </c>
      <c r="E36" s="3" t="s">
        <v>1151</v>
      </c>
      <c r="F36">
        <v>780.26</v>
      </c>
      <c r="G36" t="s">
        <v>1172</v>
      </c>
      <c r="H36" t="s">
        <v>1201</v>
      </c>
    </row>
    <row r="37" spans="1:9" x14ac:dyDescent="0.3">
      <c r="A37" t="s">
        <v>46</v>
      </c>
      <c r="B37" t="s">
        <v>1225</v>
      </c>
      <c r="C37" s="3" t="s">
        <v>647</v>
      </c>
      <c r="D37" s="43">
        <v>42993</v>
      </c>
      <c r="E37" t="s">
        <v>1157</v>
      </c>
      <c r="F37">
        <v>174.11</v>
      </c>
      <c r="G37" t="s">
        <v>1171</v>
      </c>
      <c r="I37" t="s">
        <v>1177</v>
      </c>
    </row>
    <row r="38" spans="1:9" x14ac:dyDescent="0.3">
      <c r="B38" t="s">
        <v>47</v>
      </c>
      <c r="C38" s="3" t="s">
        <v>648</v>
      </c>
      <c r="D38" s="43">
        <v>44806</v>
      </c>
      <c r="E38" t="s">
        <v>1157</v>
      </c>
      <c r="F38">
        <v>474.27</v>
      </c>
      <c r="G38" t="s">
        <v>1174</v>
      </c>
      <c r="H38" t="s">
        <v>1193</v>
      </c>
      <c r="I38" t="s">
        <v>1177</v>
      </c>
    </row>
    <row r="39" spans="1:9" x14ac:dyDescent="0.3">
      <c r="A39" s="33" t="s">
        <v>26</v>
      </c>
      <c r="B39" t="s">
        <v>48</v>
      </c>
      <c r="C39" s="3" t="s">
        <v>649</v>
      </c>
      <c r="D39" s="43">
        <v>44861</v>
      </c>
      <c r="E39" t="s">
        <v>1239</v>
      </c>
      <c r="F39">
        <v>410.29</v>
      </c>
      <c r="G39" t="s">
        <v>1171</v>
      </c>
      <c r="H39" t="s">
        <v>1192</v>
      </c>
      <c r="I39" t="s">
        <v>1179</v>
      </c>
    </row>
    <row r="40" spans="1:9" x14ac:dyDescent="0.3">
      <c r="A40" s="33" t="s">
        <v>49</v>
      </c>
      <c r="B40" t="s">
        <v>50</v>
      </c>
      <c r="C40" s="3" t="s">
        <v>650</v>
      </c>
      <c r="D40" s="43">
        <v>44469</v>
      </c>
      <c r="E40" t="s">
        <v>1161</v>
      </c>
      <c r="F40">
        <v>677.52</v>
      </c>
      <c r="G40" t="s">
        <v>1175</v>
      </c>
      <c r="I40" t="s">
        <v>1179</v>
      </c>
    </row>
    <row r="41" spans="1:9" x14ac:dyDescent="0.3">
      <c r="A41" s="33" t="s">
        <v>51</v>
      </c>
      <c r="B41" t="s">
        <v>52</v>
      </c>
      <c r="C41" t="s">
        <v>651</v>
      </c>
      <c r="D41" s="43">
        <v>44815</v>
      </c>
      <c r="E41" t="s">
        <v>1159</v>
      </c>
      <c r="G41" t="s">
        <v>1173</v>
      </c>
      <c r="I41" t="s">
        <v>1196</v>
      </c>
    </row>
    <row r="42" spans="1:9" x14ac:dyDescent="0.3">
      <c r="A42" s="33" t="s">
        <v>53</v>
      </c>
      <c r="B42" t="s">
        <v>54</v>
      </c>
      <c r="C42" t="s">
        <v>652</v>
      </c>
      <c r="D42" s="43">
        <v>44816</v>
      </c>
      <c r="F42">
        <v>100.32</v>
      </c>
      <c r="G42" t="s">
        <v>1175</v>
      </c>
      <c r="H42" s="29" t="s">
        <v>1191</v>
      </c>
      <c r="I42" t="s">
        <v>1183</v>
      </c>
    </row>
    <row r="43" spans="1:9" x14ac:dyDescent="0.3">
      <c r="A43" s="33" t="s">
        <v>55</v>
      </c>
      <c r="B43" t="s">
        <v>56</v>
      </c>
      <c r="C43" t="s">
        <v>1234</v>
      </c>
      <c r="D43" s="43">
        <v>44357</v>
      </c>
      <c r="E43" t="s">
        <v>1155</v>
      </c>
      <c r="F43">
        <v>1490.89</v>
      </c>
      <c r="G43" t="s">
        <v>1173</v>
      </c>
      <c r="H43" s="29" t="s">
        <v>1186</v>
      </c>
    </row>
    <row r="44" spans="1:9" x14ac:dyDescent="0.3">
      <c r="A44" s="33" t="s">
        <v>57</v>
      </c>
      <c r="B44" t="s">
        <v>58</v>
      </c>
      <c r="C44" t="s">
        <v>653</v>
      </c>
      <c r="D44" s="43">
        <v>44450</v>
      </c>
      <c r="E44" t="s">
        <v>1166</v>
      </c>
      <c r="F44">
        <v>819.72</v>
      </c>
      <c r="G44" t="s">
        <v>1173</v>
      </c>
      <c r="H44" s="29" t="s">
        <v>1202</v>
      </c>
      <c r="I44" t="s">
        <v>1177</v>
      </c>
    </row>
    <row r="45" spans="1:9" x14ac:dyDescent="0.3">
      <c r="A45" s="33" t="s">
        <v>57</v>
      </c>
      <c r="B45" t="s">
        <v>58</v>
      </c>
      <c r="C45" t="s">
        <v>653</v>
      </c>
      <c r="D45" s="43">
        <v>44450</v>
      </c>
      <c r="E45" t="s">
        <v>1166</v>
      </c>
      <c r="F45">
        <v>819.72</v>
      </c>
      <c r="G45" t="s">
        <v>1173</v>
      </c>
      <c r="H45" s="29" t="s">
        <v>1202</v>
      </c>
      <c r="I45" t="s">
        <v>1177</v>
      </c>
    </row>
    <row r="46" spans="1:9" x14ac:dyDescent="0.3">
      <c r="A46" s="33" t="s">
        <v>59</v>
      </c>
      <c r="B46" t="s">
        <v>1226</v>
      </c>
      <c r="C46" t="s">
        <v>654</v>
      </c>
      <c r="D46" s="43">
        <v>45328</v>
      </c>
      <c r="E46" s="3" t="s">
        <v>1166</v>
      </c>
      <c r="F46">
        <v>1686.07</v>
      </c>
      <c r="G46" t="s">
        <v>1174</v>
      </c>
      <c r="H46" s="29" t="s">
        <v>1181</v>
      </c>
      <c r="I46" t="s">
        <v>1180</v>
      </c>
    </row>
    <row r="47" spans="1:9" x14ac:dyDescent="0.3">
      <c r="A47" s="33" t="s">
        <v>60</v>
      </c>
      <c r="C47" s="3" t="s">
        <v>655</v>
      </c>
      <c r="D47" s="43">
        <v>43384</v>
      </c>
      <c r="E47" t="s">
        <v>1161</v>
      </c>
      <c r="F47">
        <v>64.53</v>
      </c>
      <c r="G47" s="13" t="s">
        <v>1175</v>
      </c>
      <c r="H47" s="29" t="s">
        <v>1186</v>
      </c>
      <c r="I47" s="3" t="s">
        <v>1179</v>
      </c>
    </row>
    <row r="48" spans="1:9" x14ac:dyDescent="0.3">
      <c r="A48" s="33" t="s">
        <v>61</v>
      </c>
      <c r="B48" t="s">
        <v>62</v>
      </c>
      <c r="C48" s="3" t="s">
        <v>656</v>
      </c>
      <c r="D48" s="43">
        <v>45268</v>
      </c>
      <c r="E48" t="s">
        <v>1160</v>
      </c>
      <c r="G48" s="13" t="s">
        <v>1174</v>
      </c>
      <c r="H48" s="29" t="s">
        <v>1197</v>
      </c>
      <c r="I48" s="3" t="s">
        <v>1183</v>
      </c>
    </row>
    <row r="49" spans="1:9" x14ac:dyDescent="0.3">
      <c r="A49" s="33" t="s">
        <v>63</v>
      </c>
      <c r="B49" t="s">
        <v>52</v>
      </c>
      <c r="C49" s="5" t="s">
        <v>657</v>
      </c>
      <c r="D49" s="43">
        <v>45489</v>
      </c>
      <c r="E49" t="s">
        <v>1241</v>
      </c>
      <c r="G49" s="13" t="s">
        <v>1175</v>
      </c>
      <c r="H49" s="29" t="s">
        <v>1186</v>
      </c>
      <c r="I49" s="3" t="s">
        <v>1179</v>
      </c>
    </row>
    <row r="50" spans="1:9" x14ac:dyDescent="0.3">
      <c r="A50" s="33" t="s">
        <v>64</v>
      </c>
      <c r="B50" t="s">
        <v>65</v>
      </c>
      <c r="C50" s="3" t="s">
        <v>658</v>
      </c>
      <c r="D50" s="21">
        <v>42831</v>
      </c>
      <c r="E50" t="s">
        <v>1158</v>
      </c>
      <c r="F50">
        <v>481.79</v>
      </c>
      <c r="G50" s="13" t="s">
        <v>1173</v>
      </c>
      <c r="H50" s="29" t="s">
        <v>1189</v>
      </c>
      <c r="I50" s="3" t="s">
        <v>1185</v>
      </c>
    </row>
    <row r="51" spans="1:9" x14ac:dyDescent="0.3">
      <c r="A51" t="s">
        <v>66</v>
      </c>
      <c r="C51" s="3" t="s">
        <v>659</v>
      </c>
      <c r="D51" s="21">
        <v>42212</v>
      </c>
      <c r="E51" t="s">
        <v>1167</v>
      </c>
      <c r="F51">
        <v>231.5</v>
      </c>
      <c r="G51" s="13" t="s">
        <v>1175</v>
      </c>
      <c r="H51" s="29" t="s">
        <v>1187</v>
      </c>
      <c r="I51" s="3" t="s">
        <v>1196</v>
      </c>
    </row>
    <row r="52" spans="1:9" x14ac:dyDescent="0.3">
      <c r="A52" t="s">
        <v>6</v>
      </c>
      <c r="B52" t="s">
        <v>67</v>
      </c>
      <c r="C52" s="5" t="s">
        <v>660</v>
      </c>
      <c r="D52" s="21">
        <v>43105</v>
      </c>
      <c r="E52" s="3" t="s">
        <v>1154</v>
      </c>
      <c r="F52">
        <v>1149.96</v>
      </c>
      <c r="G52" s="13"/>
      <c r="H52" s="29" t="s">
        <v>1193</v>
      </c>
      <c r="I52" t="s">
        <v>1177</v>
      </c>
    </row>
    <row r="53" spans="1:9" x14ac:dyDescent="0.3">
      <c r="C53" s="3" t="s">
        <v>661</v>
      </c>
      <c r="D53" s="21"/>
      <c r="E53" t="s">
        <v>1169</v>
      </c>
      <c r="F53">
        <v>982.01</v>
      </c>
      <c r="G53" s="13" t="s">
        <v>1172</v>
      </c>
      <c r="H53" s="29" t="s">
        <v>1202</v>
      </c>
      <c r="I53" t="s">
        <v>1185</v>
      </c>
    </row>
    <row r="54" spans="1:9" x14ac:dyDescent="0.3">
      <c r="B54" t="s">
        <v>68</v>
      </c>
      <c r="C54" s="3" t="s">
        <v>662</v>
      </c>
      <c r="D54" s="21">
        <v>45067</v>
      </c>
      <c r="F54">
        <v>1266.93</v>
      </c>
      <c r="G54" s="13" t="s">
        <v>1176</v>
      </c>
      <c r="H54" s="29" t="s">
        <v>1189</v>
      </c>
    </row>
    <row r="55" spans="1:9" x14ac:dyDescent="0.3">
      <c r="A55" t="s">
        <v>69</v>
      </c>
      <c r="B55" t="s">
        <v>70</v>
      </c>
      <c r="C55" t="s">
        <v>663</v>
      </c>
      <c r="D55" s="21">
        <v>44749</v>
      </c>
      <c r="E55" t="s">
        <v>1163</v>
      </c>
      <c r="F55">
        <v>1543.14</v>
      </c>
      <c r="G55" s="13" t="s">
        <v>1172</v>
      </c>
      <c r="H55" s="29" t="s">
        <v>1201</v>
      </c>
    </row>
    <row r="56" spans="1:9" x14ac:dyDescent="0.3">
      <c r="A56" s="34" t="s">
        <v>71</v>
      </c>
      <c r="C56" t="s">
        <v>664</v>
      </c>
      <c r="D56" s="21">
        <v>44750</v>
      </c>
      <c r="E56" t="s">
        <v>1242</v>
      </c>
      <c r="F56">
        <v>1282.75</v>
      </c>
      <c r="G56" t="s">
        <v>1173</v>
      </c>
      <c r="H56" s="29"/>
      <c r="I56" t="s">
        <v>1185</v>
      </c>
    </row>
    <row r="57" spans="1:9" x14ac:dyDescent="0.3">
      <c r="A57" s="34" t="s">
        <v>72</v>
      </c>
      <c r="C57" t="s">
        <v>665</v>
      </c>
      <c r="D57" s="21">
        <v>43368</v>
      </c>
      <c r="E57" t="s">
        <v>1157</v>
      </c>
      <c r="F57">
        <v>1290.22</v>
      </c>
      <c r="G57" t="s">
        <v>1175</v>
      </c>
      <c r="H57" s="29" t="s">
        <v>1200</v>
      </c>
      <c r="I57" t="s">
        <v>1183</v>
      </c>
    </row>
    <row r="58" spans="1:9" x14ac:dyDescent="0.3">
      <c r="A58" s="34" t="s">
        <v>73</v>
      </c>
      <c r="B58" t="s">
        <v>74</v>
      </c>
      <c r="C58" s="3" t="s">
        <v>666</v>
      </c>
      <c r="D58" s="21">
        <v>42631</v>
      </c>
      <c r="E58" t="s">
        <v>1252</v>
      </c>
      <c r="F58">
        <v>230.71</v>
      </c>
      <c r="G58" t="s">
        <v>1176</v>
      </c>
      <c r="H58" t="s">
        <v>1190</v>
      </c>
      <c r="I58" t="s">
        <v>1177</v>
      </c>
    </row>
    <row r="59" spans="1:9" x14ac:dyDescent="0.3">
      <c r="A59" s="34" t="s">
        <v>73</v>
      </c>
      <c r="B59" t="s">
        <v>74</v>
      </c>
      <c r="C59" s="3" t="s">
        <v>666</v>
      </c>
      <c r="D59" s="21">
        <v>42631</v>
      </c>
      <c r="E59" t="s">
        <v>1252</v>
      </c>
      <c r="F59">
        <v>230.71</v>
      </c>
      <c r="G59" t="s">
        <v>1176</v>
      </c>
      <c r="H59" t="s">
        <v>1190</v>
      </c>
      <c r="I59" t="s">
        <v>1177</v>
      </c>
    </row>
    <row r="60" spans="1:9" x14ac:dyDescent="0.3">
      <c r="A60" s="34" t="s">
        <v>75</v>
      </c>
      <c r="B60" t="s">
        <v>76</v>
      </c>
      <c r="C60" t="s">
        <v>667</v>
      </c>
      <c r="D60" s="21">
        <v>42272</v>
      </c>
      <c r="E60" t="s">
        <v>1166</v>
      </c>
      <c r="G60" t="s">
        <v>1175</v>
      </c>
      <c r="H60" t="s">
        <v>1190</v>
      </c>
      <c r="I60" t="s">
        <v>1180</v>
      </c>
    </row>
    <row r="61" spans="1:9" x14ac:dyDescent="0.3">
      <c r="A61" s="34" t="s">
        <v>77</v>
      </c>
      <c r="B61" t="s">
        <v>27</v>
      </c>
      <c r="C61" t="s">
        <v>668</v>
      </c>
      <c r="D61" s="21">
        <v>43658</v>
      </c>
      <c r="E61" t="s">
        <v>1165</v>
      </c>
      <c r="F61">
        <v>1849.08</v>
      </c>
      <c r="G61" t="s">
        <v>1176</v>
      </c>
      <c r="H61" t="s">
        <v>1192</v>
      </c>
      <c r="I61" s="3" t="s">
        <v>1183</v>
      </c>
    </row>
    <row r="62" spans="1:9" x14ac:dyDescent="0.3">
      <c r="A62" s="34" t="s">
        <v>78</v>
      </c>
      <c r="B62" t="s">
        <v>0</v>
      </c>
      <c r="C62" t="s">
        <v>669</v>
      </c>
      <c r="D62" s="21"/>
      <c r="E62" t="s">
        <v>1163</v>
      </c>
      <c r="F62">
        <v>1593.15</v>
      </c>
      <c r="G62" t="s">
        <v>1176</v>
      </c>
      <c r="H62" t="s">
        <v>1192</v>
      </c>
      <c r="I62" s="3" t="s">
        <v>1177</v>
      </c>
    </row>
    <row r="63" spans="1:9" x14ac:dyDescent="0.3">
      <c r="A63" s="34" t="s">
        <v>79</v>
      </c>
      <c r="B63" t="s">
        <v>80</v>
      </c>
      <c r="C63" s="4" t="s">
        <v>670</v>
      </c>
      <c r="D63" s="25">
        <v>44588</v>
      </c>
      <c r="E63" t="s">
        <v>1248</v>
      </c>
      <c r="F63">
        <v>1341.86</v>
      </c>
      <c r="G63" t="s">
        <v>1171</v>
      </c>
      <c r="H63" t="s">
        <v>1187</v>
      </c>
      <c r="I63" s="3" t="s">
        <v>1177</v>
      </c>
    </row>
    <row r="64" spans="1:9" x14ac:dyDescent="0.3">
      <c r="A64" s="34" t="s">
        <v>81</v>
      </c>
      <c r="B64" t="s">
        <v>82</v>
      </c>
      <c r="C64" s="4" t="s">
        <v>671</v>
      </c>
      <c r="D64" s="25">
        <v>44722</v>
      </c>
      <c r="E64" s="6" t="s">
        <v>1154</v>
      </c>
      <c r="F64">
        <v>717.58</v>
      </c>
      <c r="G64" t="s">
        <v>1176</v>
      </c>
      <c r="H64" t="s">
        <v>1190</v>
      </c>
      <c r="I64" s="3" t="s">
        <v>1185</v>
      </c>
    </row>
    <row r="65" spans="1:9" x14ac:dyDescent="0.3">
      <c r="A65" t="s">
        <v>83</v>
      </c>
      <c r="B65" t="s">
        <v>1228</v>
      </c>
      <c r="C65" s="5" t="s">
        <v>672</v>
      </c>
      <c r="D65" s="25">
        <v>42487</v>
      </c>
      <c r="E65" t="s">
        <v>1168</v>
      </c>
      <c r="F65">
        <v>1233.43</v>
      </c>
      <c r="G65" t="s">
        <v>1171</v>
      </c>
      <c r="H65" t="s">
        <v>1187</v>
      </c>
      <c r="I65" s="3" t="s">
        <v>1180</v>
      </c>
    </row>
    <row r="66" spans="1:9" x14ac:dyDescent="0.3">
      <c r="A66" t="s">
        <v>20</v>
      </c>
      <c r="B66" t="s">
        <v>11</v>
      </c>
      <c r="C66" s="4" t="s">
        <v>673</v>
      </c>
      <c r="D66" s="25">
        <v>42488</v>
      </c>
      <c r="E66" t="s">
        <v>1162</v>
      </c>
      <c r="F66">
        <v>1950.8</v>
      </c>
      <c r="G66" t="s">
        <v>1171</v>
      </c>
      <c r="H66" t="s">
        <v>1178</v>
      </c>
      <c r="I66" s="3" t="s">
        <v>1180</v>
      </c>
    </row>
    <row r="67" spans="1:9" x14ac:dyDescent="0.3">
      <c r="A67" t="s">
        <v>1216</v>
      </c>
      <c r="B67" t="s">
        <v>86</v>
      </c>
      <c r="C67" s="4" t="s">
        <v>674</v>
      </c>
      <c r="D67" s="25">
        <v>44487</v>
      </c>
      <c r="E67" t="s">
        <v>1151</v>
      </c>
      <c r="F67">
        <v>1769.73</v>
      </c>
      <c r="G67" t="s">
        <v>1173</v>
      </c>
      <c r="H67" t="s">
        <v>1197</v>
      </c>
      <c r="I67" t="s">
        <v>1177</v>
      </c>
    </row>
    <row r="68" spans="1:9" x14ac:dyDescent="0.3">
      <c r="A68" t="s">
        <v>87</v>
      </c>
      <c r="C68" s="4" t="s">
        <v>675</v>
      </c>
      <c r="D68" s="25">
        <v>44488</v>
      </c>
      <c r="E68" t="s">
        <v>1161</v>
      </c>
      <c r="F68">
        <v>808.87</v>
      </c>
      <c r="G68" t="s">
        <v>1173</v>
      </c>
      <c r="H68" t="s">
        <v>1187</v>
      </c>
      <c r="I68" t="s">
        <v>1177</v>
      </c>
    </row>
    <row r="69" spans="1:9" x14ac:dyDescent="0.3">
      <c r="A69" t="s">
        <v>88</v>
      </c>
      <c r="B69" t="s">
        <v>89</v>
      </c>
      <c r="C69" t="s">
        <v>676</v>
      </c>
      <c r="D69" s="25">
        <v>42177</v>
      </c>
      <c r="E69" t="s">
        <v>1157</v>
      </c>
      <c r="F69">
        <v>182.23</v>
      </c>
      <c r="I69" t="s">
        <v>1177</v>
      </c>
    </row>
    <row r="70" spans="1:9" x14ac:dyDescent="0.3">
      <c r="A70" t="s">
        <v>90</v>
      </c>
      <c r="C70" t="s">
        <v>1233</v>
      </c>
      <c r="D70" s="25">
        <v>41921</v>
      </c>
      <c r="E70" t="s">
        <v>1170</v>
      </c>
      <c r="F70">
        <v>1340.92</v>
      </c>
      <c r="G70" t="s">
        <v>1175</v>
      </c>
      <c r="H70" t="s">
        <v>1187</v>
      </c>
      <c r="I70" t="s">
        <v>1179</v>
      </c>
    </row>
    <row r="71" spans="1:9" x14ac:dyDescent="0.3">
      <c r="B71" t="s">
        <v>91</v>
      </c>
      <c r="C71" t="s">
        <v>677</v>
      </c>
      <c r="D71" s="25">
        <v>45283</v>
      </c>
      <c r="G71" t="s">
        <v>1174</v>
      </c>
      <c r="H71" t="s">
        <v>1186</v>
      </c>
      <c r="I71" t="s">
        <v>1177</v>
      </c>
    </row>
    <row r="72" spans="1:9" x14ac:dyDescent="0.3">
      <c r="A72" t="s">
        <v>92</v>
      </c>
      <c r="C72" t="s">
        <v>678</v>
      </c>
      <c r="D72" s="25">
        <v>45284</v>
      </c>
      <c r="F72">
        <v>696.1</v>
      </c>
      <c r="G72" t="s">
        <v>1174</v>
      </c>
      <c r="H72" t="s">
        <v>1199</v>
      </c>
      <c r="I72" t="s">
        <v>1179</v>
      </c>
    </row>
    <row r="73" spans="1:9" x14ac:dyDescent="0.3">
      <c r="A73" t="s">
        <v>75</v>
      </c>
      <c r="B73" t="s">
        <v>93</v>
      </c>
      <c r="C73" t="s">
        <v>679</v>
      </c>
      <c r="D73" s="25">
        <v>44265</v>
      </c>
      <c r="E73" t="s">
        <v>1170</v>
      </c>
      <c r="F73">
        <v>1278.0899999999999</v>
      </c>
      <c r="G73" t="s">
        <v>1173</v>
      </c>
      <c r="H73" t="s">
        <v>1192</v>
      </c>
    </row>
    <row r="74" spans="1:9" x14ac:dyDescent="0.3">
      <c r="A74" t="s">
        <v>94</v>
      </c>
      <c r="B74" t="s">
        <v>95</v>
      </c>
      <c r="C74" s="3" t="s">
        <v>680</v>
      </c>
      <c r="D74" s="21"/>
      <c r="E74" t="s">
        <v>1156</v>
      </c>
      <c r="F74">
        <v>1082.3399999999999</v>
      </c>
      <c r="H74" t="s">
        <v>1198</v>
      </c>
    </row>
    <row r="75" spans="1:9" x14ac:dyDescent="0.3">
      <c r="A75" t="s">
        <v>96</v>
      </c>
      <c r="B75" t="s">
        <v>97</v>
      </c>
      <c r="C75" t="s">
        <v>681</v>
      </c>
      <c r="D75" s="21"/>
      <c r="G75" t="s">
        <v>1172</v>
      </c>
      <c r="H75" t="s">
        <v>1188</v>
      </c>
    </row>
    <row r="76" spans="1:9" x14ac:dyDescent="0.3">
      <c r="A76" t="s">
        <v>61</v>
      </c>
      <c r="B76" t="s">
        <v>98</v>
      </c>
      <c r="C76" t="s">
        <v>682</v>
      </c>
      <c r="D76" s="21">
        <v>45236</v>
      </c>
      <c r="F76">
        <v>190.27</v>
      </c>
      <c r="G76" t="s">
        <v>1174</v>
      </c>
      <c r="H76" t="s">
        <v>1189</v>
      </c>
      <c r="I76" t="s">
        <v>1180</v>
      </c>
    </row>
    <row r="77" spans="1:9" x14ac:dyDescent="0.3">
      <c r="A77" t="s">
        <v>99</v>
      </c>
      <c r="B77" t="s">
        <v>100</v>
      </c>
      <c r="C77" s="37" t="s">
        <v>683</v>
      </c>
      <c r="D77" s="21">
        <v>43095</v>
      </c>
      <c r="E77" t="s">
        <v>1152</v>
      </c>
      <c r="F77">
        <v>1932.32</v>
      </c>
      <c r="G77" t="s">
        <v>1176</v>
      </c>
      <c r="H77" t="s">
        <v>1193</v>
      </c>
      <c r="I77" t="s">
        <v>1177</v>
      </c>
    </row>
    <row r="78" spans="1:9" x14ac:dyDescent="0.3">
      <c r="A78" t="s">
        <v>101</v>
      </c>
      <c r="B78" t="s">
        <v>80</v>
      </c>
      <c r="C78" s="4" t="s">
        <v>684</v>
      </c>
      <c r="D78" s="21">
        <v>43032</v>
      </c>
      <c r="E78" t="s">
        <v>1164</v>
      </c>
      <c r="F78">
        <v>663.46</v>
      </c>
      <c r="G78" t="s">
        <v>1176</v>
      </c>
      <c r="H78" t="s">
        <v>1188</v>
      </c>
      <c r="I78" t="s">
        <v>1179</v>
      </c>
    </row>
    <row r="79" spans="1:9" x14ac:dyDescent="0.3">
      <c r="A79" t="s">
        <v>102</v>
      </c>
      <c r="B79" t="s">
        <v>103</v>
      </c>
      <c r="C79" s="15" t="s">
        <v>685</v>
      </c>
      <c r="D79" s="21">
        <v>43881</v>
      </c>
      <c r="E79" t="s">
        <v>1154</v>
      </c>
      <c r="F79">
        <v>826.44</v>
      </c>
      <c r="G79" t="s">
        <v>1176</v>
      </c>
      <c r="H79" t="s">
        <v>1189</v>
      </c>
      <c r="I79" s="3" t="s">
        <v>1183</v>
      </c>
    </row>
    <row r="80" spans="1:9" x14ac:dyDescent="0.3">
      <c r="A80" t="s">
        <v>104</v>
      </c>
      <c r="B80" t="s">
        <v>97</v>
      </c>
      <c r="C80" s="15" t="s">
        <v>686</v>
      </c>
      <c r="D80" s="21">
        <v>43674</v>
      </c>
      <c r="E80" s="3" t="s">
        <v>1160</v>
      </c>
      <c r="F80">
        <v>387.65</v>
      </c>
      <c r="G80" t="s">
        <v>1174</v>
      </c>
      <c r="H80" t="s">
        <v>1201</v>
      </c>
      <c r="I80" s="3" t="s">
        <v>1183</v>
      </c>
    </row>
    <row r="81" spans="1:9" x14ac:dyDescent="0.3">
      <c r="A81" t="s">
        <v>105</v>
      </c>
      <c r="B81" t="s">
        <v>106</v>
      </c>
      <c r="C81" s="13" t="s">
        <v>687</v>
      </c>
      <c r="D81" s="21"/>
      <c r="E81" t="s">
        <v>1167</v>
      </c>
      <c r="F81">
        <v>608</v>
      </c>
      <c r="G81" t="s">
        <v>1174</v>
      </c>
      <c r="H81" t="s">
        <v>1184</v>
      </c>
      <c r="I81" s="3" t="s">
        <v>1196</v>
      </c>
    </row>
    <row r="82" spans="1:9" x14ac:dyDescent="0.3">
      <c r="A82" t="s">
        <v>53</v>
      </c>
      <c r="B82" t="s">
        <v>31</v>
      </c>
      <c r="C82" s="13" t="s">
        <v>688</v>
      </c>
      <c r="D82" s="21">
        <v>44009</v>
      </c>
      <c r="E82" t="s">
        <v>1250</v>
      </c>
      <c r="F82">
        <v>238.15</v>
      </c>
      <c r="G82" t="s">
        <v>1172</v>
      </c>
      <c r="I82" s="3" t="s">
        <v>1180</v>
      </c>
    </row>
    <row r="83" spans="1:9" x14ac:dyDescent="0.3">
      <c r="A83" t="s">
        <v>42</v>
      </c>
      <c r="B83" t="s">
        <v>107</v>
      </c>
      <c r="C83" s="13" t="s">
        <v>689</v>
      </c>
      <c r="D83" s="21">
        <v>44921</v>
      </c>
      <c r="E83" t="s">
        <v>1249</v>
      </c>
      <c r="F83">
        <v>868.59</v>
      </c>
      <c r="G83" t="s">
        <v>1174</v>
      </c>
      <c r="H83" t="s">
        <v>1195</v>
      </c>
      <c r="I83" t="s">
        <v>1177</v>
      </c>
    </row>
    <row r="84" spans="1:9" x14ac:dyDescent="0.3">
      <c r="A84" t="s">
        <v>108</v>
      </c>
      <c r="B84" t="s">
        <v>109</v>
      </c>
      <c r="C84" s="14" t="s">
        <v>690</v>
      </c>
      <c r="D84" s="21">
        <v>43671</v>
      </c>
      <c r="E84" s="3" t="s">
        <v>1156</v>
      </c>
      <c r="F84">
        <v>1228.1300000000001</v>
      </c>
      <c r="G84" t="s">
        <v>1173</v>
      </c>
      <c r="H84" t="s">
        <v>1200</v>
      </c>
      <c r="I84" t="s">
        <v>1183</v>
      </c>
    </row>
    <row r="85" spans="1:9" x14ac:dyDescent="0.3">
      <c r="A85" t="s">
        <v>110</v>
      </c>
      <c r="B85" t="s">
        <v>111</v>
      </c>
      <c r="C85" s="13" t="s">
        <v>691</v>
      </c>
      <c r="D85" s="21">
        <v>43405</v>
      </c>
      <c r="E85" t="s">
        <v>1155</v>
      </c>
      <c r="F85">
        <v>1656.62</v>
      </c>
      <c r="G85" s="34" t="s">
        <v>1173</v>
      </c>
      <c r="H85" t="s">
        <v>1197</v>
      </c>
    </row>
    <row r="86" spans="1:9" x14ac:dyDescent="0.3">
      <c r="A86" t="s">
        <v>112</v>
      </c>
      <c r="B86" t="s">
        <v>113</v>
      </c>
      <c r="C86" s="13" t="s">
        <v>692</v>
      </c>
      <c r="D86" s="21">
        <v>43406</v>
      </c>
      <c r="E86" t="s">
        <v>1162</v>
      </c>
      <c r="F86">
        <v>1712.68</v>
      </c>
      <c r="G86" s="34" t="s">
        <v>1171</v>
      </c>
      <c r="I86" t="s">
        <v>1185</v>
      </c>
    </row>
    <row r="87" spans="1:9" x14ac:dyDescent="0.3">
      <c r="A87" t="s">
        <v>114</v>
      </c>
      <c r="B87" t="s">
        <v>115</v>
      </c>
      <c r="C87" s="13" t="s">
        <v>693</v>
      </c>
      <c r="D87" s="21">
        <v>43758</v>
      </c>
      <c r="E87" t="s">
        <v>1153</v>
      </c>
      <c r="F87">
        <v>964.84</v>
      </c>
      <c r="G87" s="34" t="s">
        <v>1176</v>
      </c>
      <c r="H87" t="s">
        <v>1189</v>
      </c>
      <c r="I87" t="s">
        <v>1180</v>
      </c>
    </row>
    <row r="88" spans="1:9" x14ac:dyDescent="0.3">
      <c r="A88" t="s">
        <v>116</v>
      </c>
      <c r="B88" t="s">
        <v>117</v>
      </c>
      <c r="C88" s="13" t="s">
        <v>694</v>
      </c>
      <c r="D88" s="21">
        <v>44045</v>
      </c>
      <c r="F88">
        <v>442.45</v>
      </c>
      <c r="G88" s="34" t="s">
        <v>1171</v>
      </c>
      <c r="H88" t="s">
        <v>1191</v>
      </c>
      <c r="I88" t="s">
        <v>1180</v>
      </c>
    </row>
    <row r="89" spans="1:9" x14ac:dyDescent="0.3">
      <c r="A89" t="s">
        <v>118</v>
      </c>
      <c r="B89" t="s">
        <v>119</v>
      </c>
      <c r="C89" s="15" t="s">
        <v>695</v>
      </c>
      <c r="D89" s="21">
        <v>44584</v>
      </c>
      <c r="E89" t="s">
        <v>1159</v>
      </c>
      <c r="F89">
        <v>844.07</v>
      </c>
      <c r="G89" s="34" t="s">
        <v>1174</v>
      </c>
      <c r="H89" t="s">
        <v>1181</v>
      </c>
      <c r="I89" t="s">
        <v>1185</v>
      </c>
    </row>
    <row r="90" spans="1:9" x14ac:dyDescent="0.3">
      <c r="A90" t="s">
        <v>118</v>
      </c>
      <c r="B90" t="s">
        <v>119</v>
      </c>
      <c r="C90" s="15" t="s">
        <v>695</v>
      </c>
      <c r="D90" s="21">
        <v>44584</v>
      </c>
      <c r="E90" t="s">
        <v>1159</v>
      </c>
      <c r="F90">
        <v>844.07</v>
      </c>
      <c r="G90" s="34" t="s">
        <v>1174</v>
      </c>
      <c r="H90" t="s">
        <v>1181</v>
      </c>
      <c r="I90" t="s">
        <v>1185</v>
      </c>
    </row>
    <row r="91" spans="1:9" x14ac:dyDescent="0.3">
      <c r="A91" t="s">
        <v>38</v>
      </c>
      <c r="C91" s="15" t="s">
        <v>696</v>
      </c>
      <c r="D91" s="21">
        <v>44355</v>
      </c>
      <c r="E91" t="s">
        <v>1154</v>
      </c>
      <c r="F91">
        <v>1802.18</v>
      </c>
      <c r="G91" s="34" t="s">
        <v>1174</v>
      </c>
      <c r="I91" t="s">
        <v>1180</v>
      </c>
    </row>
    <row r="92" spans="1:9" x14ac:dyDescent="0.3">
      <c r="B92" t="s">
        <v>120</v>
      </c>
      <c r="C92" s="4" t="s">
        <v>697</v>
      </c>
      <c r="D92" s="21">
        <v>45263</v>
      </c>
      <c r="G92" s="34" t="s">
        <v>1172</v>
      </c>
      <c r="H92" t="s">
        <v>1190</v>
      </c>
      <c r="I92" t="s">
        <v>1183</v>
      </c>
    </row>
    <row r="93" spans="1:9" x14ac:dyDescent="0.3">
      <c r="A93" t="s">
        <v>121</v>
      </c>
      <c r="B93" t="s">
        <v>122</v>
      </c>
      <c r="C93" s="4" t="s">
        <v>698</v>
      </c>
      <c r="D93" s="21">
        <v>45019</v>
      </c>
      <c r="E93" t="s">
        <v>1243</v>
      </c>
      <c r="F93">
        <v>709.33</v>
      </c>
      <c r="G93" s="34" t="s">
        <v>1176</v>
      </c>
      <c r="H93" t="s">
        <v>1201</v>
      </c>
      <c r="I93" s="3" t="s">
        <v>1185</v>
      </c>
    </row>
    <row r="94" spans="1:9" x14ac:dyDescent="0.3">
      <c r="A94" t="s">
        <v>123</v>
      </c>
      <c r="B94" t="s">
        <v>124</v>
      </c>
      <c r="C94" t="s">
        <v>699</v>
      </c>
      <c r="D94" s="21">
        <v>42009</v>
      </c>
      <c r="E94" t="s">
        <v>1157</v>
      </c>
      <c r="G94" s="34" t="s">
        <v>1172</v>
      </c>
      <c r="H94" t="s">
        <v>1195</v>
      </c>
      <c r="I94" s="3" t="s">
        <v>1180</v>
      </c>
    </row>
    <row r="95" spans="1:9" x14ac:dyDescent="0.3">
      <c r="A95" t="s">
        <v>125</v>
      </c>
      <c r="C95" t="s">
        <v>700</v>
      </c>
      <c r="D95" s="21">
        <v>43528</v>
      </c>
      <c r="F95">
        <v>1371.75</v>
      </c>
      <c r="G95" s="34" t="s">
        <v>1171</v>
      </c>
      <c r="H95" t="s">
        <v>1187</v>
      </c>
      <c r="I95" s="3" t="s">
        <v>1179</v>
      </c>
    </row>
    <row r="96" spans="1:9" x14ac:dyDescent="0.3">
      <c r="A96" t="s">
        <v>126</v>
      </c>
      <c r="B96" t="s">
        <v>127</v>
      </c>
      <c r="C96" t="s">
        <v>701</v>
      </c>
      <c r="D96" s="25">
        <v>42760</v>
      </c>
      <c r="E96" t="s">
        <v>1168</v>
      </c>
      <c r="F96">
        <v>826.81</v>
      </c>
      <c r="I96" s="3" t="s">
        <v>1180</v>
      </c>
    </row>
    <row r="97" spans="1:9" x14ac:dyDescent="0.3">
      <c r="A97" t="s">
        <v>128</v>
      </c>
      <c r="B97" t="s">
        <v>129</v>
      </c>
      <c r="C97" t="s">
        <v>702</v>
      </c>
      <c r="D97" s="25">
        <v>43161</v>
      </c>
      <c r="E97" t="s">
        <v>1157</v>
      </c>
      <c r="F97">
        <v>172.66</v>
      </c>
      <c r="H97" t="s">
        <v>1199</v>
      </c>
      <c r="I97" s="3" t="s">
        <v>1185</v>
      </c>
    </row>
    <row r="98" spans="1:9" x14ac:dyDescent="0.3">
      <c r="A98" t="s">
        <v>130</v>
      </c>
      <c r="B98" t="s">
        <v>131</v>
      </c>
      <c r="C98" s="4" t="s">
        <v>703</v>
      </c>
      <c r="D98" s="25">
        <v>42145</v>
      </c>
      <c r="E98" t="s">
        <v>1163</v>
      </c>
      <c r="F98">
        <v>1784.48</v>
      </c>
      <c r="G98" t="s">
        <v>1175</v>
      </c>
    </row>
    <row r="99" spans="1:9" x14ac:dyDescent="0.3">
      <c r="A99" t="s">
        <v>132</v>
      </c>
      <c r="B99" t="s">
        <v>133</v>
      </c>
      <c r="C99" s="4" t="s">
        <v>704</v>
      </c>
      <c r="D99" s="25">
        <v>42944</v>
      </c>
      <c r="F99">
        <v>1989.33</v>
      </c>
      <c r="G99" t="s">
        <v>1173</v>
      </c>
      <c r="H99" t="s">
        <v>1199</v>
      </c>
      <c r="I99" t="s">
        <v>1177</v>
      </c>
    </row>
    <row r="100" spans="1:9" x14ac:dyDescent="0.3">
      <c r="A100" t="s">
        <v>134</v>
      </c>
      <c r="B100" t="s">
        <v>135</v>
      </c>
      <c r="C100" s="4" t="s">
        <v>705</v>
      </c>
      <c r="D100" s="25">
        <v>44153</v>
      </c>
      <c r="E100" t="s">
        <v>1167</v>
      </c>
      <c r="F100">
        <v>1126.25</v>
      </c>
      <c r="G100" t="s">
        <v>1175</v>
      </c>
      <c r="I100" t="s">
        <v>1177</v>
      </c>
    </row>
    <row r="101" spans="1:9" x14ac:dyDescent="0.3">
      <c r="A101" t="s">
        <v>136</v>
      </c>
      <c r="C101" s="4" t="s">
        <v>706</v>
      </c>
      <c r="D101" s="25">
        <v>44547</v>
      </c>
      <c r="F101">
        <v>207.59</v>
      </c>
      <c r="G101" t="s">
        <v>1172</v>
      </c>
      <c r="H101" t="s">
        <v>1181</v>
      </c>
      <c r="I101" t="s">
        <v>1177</v>
      </c>
    </row>
    <row r="102" spans="1:9" x14ac:dyDescent="0.3">
      <c r="A102" t="s">
        <v>112</v>
      </c>
      <c r="B102" t="s">
        <v>137</v>
      </c>
      <c r="C102" t="s">
        <v>1232</v>
      </c>
      <c r="D102" s="25">
        <v>44722</v>
      </c>
      <c r="E102" t="s">
        <v>1168</v>
      </c>
      <c r="F102">
        <v>391.39</v>
      </c>
      <c r="G102" t="s">
        <v>1175</v>
      </c>
      <c r="H102" t="s">
        <v>1190</v>
      </c>
      <c r="I102" t="s">
        <v>1185</v>
      </c>
    </row>
    <row r="103" spans="1:9" x14ac:dyDescent="0.3">
      <c r="A103" t="s">
        <v>138</v>
      </c>
      <c r="B103" t="s">
        <v>139</v>
      </c>
      <c r="C103" t="s">
        <v>707</v>
      </c>
      <c r="D103" s="25">
        <v>44723</v>
      </c>
      <c r="E103" t="s">
        <v>1156</v>
      </c>
      <c r="F103">
        <v>1323.33</v>
      </c>
      <c r="G103" t="s">
        <v>1171</v>
      </c>
      <c r="H103" t="s">
        <v>1193</v>
      </c>
      <c r="I103" t="s">
        <v>1177</v>
      </c>
    </row>
    <row r="104" spans="1:9" x14ac:dyDescent="0.3">
      <c r="A104" t="s">
        <v>140</v>
      </c>
      <c r="B104" t="s">
        <v>141</v>
      </c>
      <c r="C104" t="s">
        <v>708</v>
      </c>
      <c r="D104" s="25">
        <v>43618</v>
      </c>
      <c r="E104" s="16" t="s">
        <v>1244</v>
      </c>
      <c r="F104">
        <v>1864.77</v>
      </c>
      <c r="G104" t="s">
        <v>1171</v>
      </c>
      <c r="H104" t="s">
        <v>1197</v>
      </c>
      <c r="I104" t="s">
        <v>1183</v>
      </c>
    </row>
    <row r="105" spans="1:9" x14ac:dyDescent="0.3">
      <c r="A105" t="s">
        <v>142</v>
      </c>
      <c r="B105" t="s">
        <v>143</v>
      </c>
      <c r="C105" t="s">
        <v>709</v>
      </c>
      <c r="D105" s="25">
        <v>43862</v>
      </c>
      <c r="E105" s="16" t="s">
        <v>1165</v>
      </c>
      <c r="F105">
        <v>1639.26</v>
      </c>
      <c r="H105" t="s">
        <v>1188</v>
      </c>
      <c r="I105" t="s">
        <v>1185</v>
      </c>
    </row>
    <row r="106" spans="1:9" x14ac:dyDescent="0.3">
      <c r="A106" t="s">
        <v>144</v>
      </c>
      <c r="B106" t="s">
        <v>145</v>
      </c>
      <c r="C106" s="3" t="s">
        <v>710</v>
      </c>
      <c r="D106" s="25">
        <v>43183</v>
      </c>
      <c r="E106" s="16" t="s">
        <v>1161</v>
      </c>
      <c r="F106">
        <v>1662.67</v>
      </c>
      <c r="G106" t="s">
        <v>1173</v>
      </c>
      <c r="H106" t="s">
        <v>1178</v>
      </c>
      <c r="I106" t="s">
        <v>1177</v>
      </c>
    </row>
    <row r="107" spans="1:9" x14ac:dyDescent="0.3">
      <c r="A107" t="s">
        <v>146</v>
      </c>
      <c r="C107" t="s">
        <v>711</v>
      </c>
      <c r="D107" s="25">
        <v>45146</v>
      </c>
      <c r="E107" s="16" t="s">
        <v>1163</v>
      </c>
      <c r="F107">
        <v>1551.4</v>
      </c>
      <c r="G107" t="s">
        <v>1174</v>
      </c>
      <c r="H107" t="s">
        <v>1193</v>
      </c>
      <c r="I107" t="s">
        <v>1177</v>
      </c>
    </row>
    <row r="108" spans="1:9" x14ac:dyDescent="0.3">
      <c r="A108" t="s">
        <v>104</v>
      </c>
      <c r="B108" t="s">
        <v>147</v>
      </c>
      <c r="C108" t="s">
        <v>712</v>
      </c>
      <c r="D108" s="25">
        <v>45147</v>
      </c>
      <c r="E108" s="16" t="s">
        <v>1251</v>
      </c>
      <c r="F108">
        <v>327.23</v>
      </c>
      <c r="G108" t="s">
        <v>1176</v>
      </c>
      <c r="H108" t="s">
        <v>1192</v>
      </c>
      <c r="I108" s="3" t="s">
        <v>1179</v>
      </c>
    </row>
    <row r="109" spans="1:9" x14ac:dyDescent="0.3">
      <c r="A109" t="s">
        <v>148</v>
      </c>
      <c r="B109" t="s">
        <v>149</v>
      </c>
      <c r="C109" t="s">
        <v>713</v>
      </c>
      <c r="D109" s="25">
        <v>45148</v>
      </c>
      <c r="E109" s="16" t="s">
        <v>1158</v>
      </c>
      <c r="F109">
        <v>1715.77</v>
      </c>
      <c r="G109" t="s">
        <v>1173</v>
      </c>
      <c r="H109" t="s">
        <v>1200</v>
      </c>
      <c r="I109" s="3" t="s">
        <v>1185</v>
      </c>
    </row>
    <row r="110" spans="1:9" x14ac:dyDescent="0.3">
      <c r="B110" t="s">
        <v>150</v>
      </c>
      <c r="C110" t="s">
        <v>714</v>
      </c>
      <c r="D110" s="25">
        <v>45338</v>
      </c>
      <c r="E110" s="16" t="s">
        <v>1151</v>
      </c>
      <c r="F110">
        <v>1478.71</v>
      </c>
      <c r="G110" t="s">
        <v>1176</v>
      </c>
      <c r="H110" t="s">
        <v>1181</v>
      </c>
      <c r="I110" s="3" t="s">
        <v>1183</v>
      </c>
    </row>
    <row r="111" spans="1:9" x14ac:dyDescent="0.3">
      <c r="A111" t="s">
        <v>51</v>
      </c>
      <c r="B111" t="s">
        <v>151</v>
      </c>
      <c r="C111" s="3" t="s">
        <v>715</v>
      </c>
      <c r="D111" s="25">
        <v>45186</v>
      </c>
      <c r="E111" s="16" t="s">
        <v>1162</v>
      </c>
      <c r="F111">
        <v>336.64</v>
      </c>
      <c r="G111" t="s">
        <v>1172</v>
      </c>
      <c r="H111" t="s">
        <v>1201</v>
      </c>
      <c r="I111" s="3" t="s">
        <v>1179</v>
      </c>
    </row>
    <row r="112" spans="1:9" x14ac:dyDescent="0.3">
      <c r="A112" t="s">
        <v>152</v>
      </c>
      <c r="B112" t="s">
        <v>153</v>
      </c>
      <c r="C112" t="s">
        <v>716</v>
      </c>
      <c r="D112" s="25">
        <v>42938</v>
      </c>
      <c r="E112" s="3" t="s">
        <v>1158</v>
      </c>
      <c r="F112">
        <v>1907.83</v>
      </c>
      <c r="G112" t="s">
        <v>1171</v>
      </c>
      <c r="H112" t="s">
        <v>1193</v>
      </c>
      <c r="I112" s="3" t="s">
        <v>1180</v>
      </c>
    </row>
    <row r="113" spans="1:9" x14ac:dyDescent="0.3">
      <c r="A113" t="s">
        <v>154</v>
      </c>
      <c r="B113" t="s">
        <v>155</v>
      </c>
      <c r="C113" t="s">
        <v>717</v>
      </c>
      <c r="D113" s="21">
        <v>42503</v>
      </c>
      <c r="E113" s="3" t="s">
        <v>1151</v>
      </c>
      <c r="F113">
        <v>1784.18</v>
      </c>
      <c r="G113" t="s">
        <v>1174</v>
      </c>
      <c r="I113" t="s">
        <v>1185</v>
      </c>
    </row>
    <row r="114" spans="1:9" x14ac:dyDescent="0.3">
      <c r="B114" t="s">
        <v>156</v>
      </c>
      <c r="C114" t="s">
        <v>718</v>
      </c>
      <c r="D114" s="21">
        <v>44250</v>
      </c>
      <c r="E114" s="3" t="s">
        <v>1155</v>
      </c>
      <c r="F114">
        <v>88.43</v>
      </c>
      <c r="G114" t="s">
        <v>1171</v>
      </c>
      <c r="H114" t="s">
        <v>1184</v>
      </c>
      <c r="I114" t="s">
        <v>1177</v>
      </c>
    </row>
    <row r="115" spans="1:9" x14ac:dyDescent="0.3">
      <c r="A115" t="s">
        <v>157</v>
      </c>
      <c r="B115" t="s">
        <v>158</v>
      </c>
      <c r="C115" t="s">
        <v>719</v>
      </c>
      <c r="D115" s="21">
        <v>43095</v>
      </c>
      <c r="E115" s="3" t="s">
        <v>1154</v>
      </c>
      <c r="F115">
        <v>1185.05</v>
      </c>
      <c r="I115" t="s">
        <v>1179</v>
      </c>
    </row>
    <row r="116" spans="1:9" x14ac:dyDescent="0.3">
      <c r="A116" t="s">
        <v>159</v>
      </c>
      <c r="C116" t="s">
        <v>720</v>
      </c>
      <c r="D116" s="21">
        <v>44545</v>
      </c>
      <c r="E116" t="s">
        <v>1170</v>
      </c>
      <c r="G116" t="s">
        <v>1174</v>
      </c>
      <c r="H116" t="s">
        <v>1195</v>
      </c>
    </row>
    <row r="117" spans="1:9" x14ac:dyDescent="0.3">
      <c r="A117" t="s">
        <v>160</v>
      </c>
      <c r="B117" t="s">
        <v>161</v>
      </c>
      <c r="C117" t="s">
        <v>721</v>
      </c>
      <c r="D117" s="21">
        <v>42538</v>
      </c>
      <c r="E117" t="s">
        <v>1152</v>
      </c>
      <c r="F117">
        <v>729.46</v>
      </c>
      <c r="G117" t="s">
        <v>1171</v>
      </c>
      <c r="H117" t="s">
        <v>1199</v>
      </c>
      <c r="I117" t="s">
        <v>1177</v>
      </c>
    </row>
    <row r="118" spans="1:9" x14ac:dyDescent="0.3">
      <c r="A118" t="s">
        <v>162</v>
      </c>
      <c r="B118" t="s">
        <v>17</v>
      </c>
      <c r="C118" s="3" t="s">
        <v>722</v>
      </c>
      <c r="D118" s="21">
        <v>43867</v>
      </c>
      <c r="E118" t="s">
        <v>1165</v>
      </c>
      <c r="F118">
        <v>680.89</v>
      </c>
      <c r="G118" t="s">
        <v>1171</v>
      </c>
      <c r="H118" t="s">
        <v>1190</v>
      </c>
      <c r="I118" t="s">
        <v>1177</v>
      </c>
    </row>
    <row r="119" spans="1:9" x14ac:dyDescent="0.3">
      <c r="A119" t="s">
        <v>163</v>
      </c>
      <c r="C119" s="3" t="s">
        <v>723</v>
      </c>
      <c r="D119" s="21">
        <v>45054</v>
      </c>
      <c r="E119" t="s">
        <v>1154</v>
      </c>
      <c r="F119">
        <v>815.83</v>
      </c>
      <c r="G119" t="s">
        <v>1172</v>
      </c>
      <c r="H119" t="s">
        <v>1197</v>
      </c>
      <c r="I119" t="s">
        <v>1185</v>
      </c>
    </row>
    <row r="120" spans="1:9" x14ac:dyDescent="0.3">
      <c r="A120" s="34" t="s">
        <v>164</v>
      </c>
      <c r="B120" t="s">
        <v>165</v>
      </c>
      <c r="C120" s="3" t="s">
        <v>724</v>
      </c>
      <c r="D120" s="21">
        <v>45055</v>
      </c>
      <c r="E120" t="s">
        <v>1157</v>
      </c>
      <c r="F120">
        <v>1299.74</v>
      </c>
      <c r="G120" t="s">
        <v>1171</v>
      </c>
      <c r="I120" t="s">
        <v>1185</v>
      </c>
    </row>
    <row r="121" spans="1:9" x14ac:dyDescent="0.3">
      <c r="A121" s="34" t="s">
        <v>166</v>
      </c>
      <c r="B121" t="s">
        <v>167</v>
      </c>
      <c r="C121" s="3" t="s">
        <v>725</v>
      </c>
      <c r="D121" s="21">
        <v>43748</v>
      </c>
      <c r="E121" t="s">
        <v>1169</v>
      </c>
      <c r="F121">
        <v>1687.38</v>
      </c>
      <c r="G121" t="s">
        <v>1176</v>
      </c>
      <c r="H121" t="s">
        <v>1187</v>
      </c>
      <c r="I121" t="s">
        <v>1177</v>
      </c>
    </row>
    <row r="122" spans="1:9" x14ac:dyDescent="0.3">
      <c r="A122" s="34" t="s">
        <v>168</v>
      </c>
      <c r="B122" t="s">
        <v>169</v>
      </c>
      <c r="C122" t="s">
        <v>726</v>
      </c>
      <c r="D122" s="21">
        <v>43393</v>
      </c>
      <c r="E122" t="s">
        <v>1163</v>
      </c>
      <c r="F122">
        <v>823.56</v>
      </c>
      <c r="G122" t="s">
        <v>1175</v>
      </c>
      <c r="H122" t="s">
        <v>1181</v>
      </c>
    </row>
    <row r="123" spans="1:9" x14ac:dyDescent="0.3">
      <c r="A123" s="34" t="s">
        <v>83</v>
      </c>
      <c r="B123" t="s">
        <v>124</v>
      </c>
      <c r="C123" t="s">
        <v>727</v>
      </c>
      <c r="D123" s="21">
        <v>45274</v>
      </c>
      <c r="E123" t="s">
        <v>1162</v>
      </c>
      <c r="F123">
        <v>1417.34</v>
      </c>
      <c r="G123" t="s">
        <v>1176</v>
      </c>
      <c r="H123" t="s">
        <v>1201</v>
      </c>
      <c r="I123" t="s">
        <v>1183</v>
      </c>
    </row>
    <row r="124" spans="1:9" x14ac:dyDescent="0.3">
      <c r="A124" s="34" t="s">
        <v>170</v>
      </c>
      <c r="B124" t="s">
        <v>171</v>
      </c>
      <c r="C124" t="s">
        <v>728</v>
      </c>
      <c r="D124" s="25">
        <v>43416</v>
      </c>
      <c r="E124" t="s">
        <v>1169</v>
      </c>
      <c r="F124">
        <v>71.400000000000006</v>
      </c>
      <c r="G124" t="s">
        <v>1176</v>
      </c>
      <c r="H124" t="s">
        <v>1190</v>
      </c>
      <c r="I124" t="s">
        <v>1183</v>
      </c>
    </row>
    <row r="125" spans="1:9" x14ac:dyDescent="0.3">
      <c r="A125" s="34" t="s">
        <v>172</v>
      </c>
      <c r="B125" t="s">
        <v>173</v>
      </c>
      <c r="C125" t="s">
        <v>729</v>
      </c>
      <c r="D125" s="25">
        <v>45100</v>
      </c>
      <c r="E125" s="3" t="s">
        <v>1155</v>
      </c>
      <c r="F125">
        <v>1317.21</v>
      </c>
      <c r="H125" t="s">
        <v>1195</v>
      </c>
      <c r="I125" t="s">
        <v>1196</v>
      </c>
    </row>
    <row r="126" spans="1:9" x14ac:dyDescent="0.3">
      <c r="A126" s="34" t="s">
        <v>174</v>
      </c>
      <c r="B126" t="s">
        <v>175</v>
      </c>
      <c r="C126" s="3" t="s">
        <v>730</v>
      </c>
      <c r="D126" s="25">
        <v>44544</v>
      </c>
      <c r="E126" t="s">
        <v>1164</v>
      </c>
      <c r="F126">
        <v>1291.56</v>
      </c>
      <c r="G126" t="s">
        <v>1176</v>
      </c>
      <c r="H126" t="s">
        <v>1197</v>
      </c>
      <c r="I126" t="s">
        <v>1177</v>
      </c>
    </row>
    <row r="127" spans="1:9" x14ac:dyDescent="0.3">
      <c r="A127" s="34" t="s">
        <v>176</v>
      </c>
      <c r="B127" t="s">
        <v>177</v>
      </c>
      <c r="C127" t="s">
        <v>731</v>
      </c>
      <c r="D127" s="25">
        <v>44545</v>
      </c>
      <c r="E127" t="s">
        <v>1153</v>
      </c>
      <c r="F127">
        <v>1305.6199999999999</v>
      </c>
      <c r="G127" t="s">
        <v>1174</v>
      </c>
      <c r="H127" t="s">
        <v>1193</v>
      </c>
      <c r="I127" t="s">
        <v>1177</v>
      </c>
    </row>
    <row r="128" spans="1:9" x14ac:dyDescent="0.3">
      <c r="A128" s="34" t="s">
        <v>178</v>
      </c>
      <c r="B128" s="3" t="s">
        <v>179</v>
      </c>
      <c r="C128" t="s">
        <v>732</v>
      </c>
      <c r="D128" s="25">
        <v>45470</v>
      </c>
      <c r="E128" t="s">
        <v>1155</v>
      </c>
      <c r="F128">
        <v>1559.04</v>
      </c>
      <c r="G128" t="s">
        <v>1171</v>
      </c>
      <c r="H128" t="s">
        <v>1184</v>
      </c>
      <c r="I128" s="6" t="s">
        <v>1196</v>
      </c>
    </row>
    <row r="129" spans="1:9" x14ac:dyDescent="0.3">
      <c r="A129" s="34" t="s">
        <v>180</v>
      </c>
      <c r="B129" s="3" t="s">
        <v>181</v>
      </c>
      <c r="C129" t="s">
        <v>733</v>
      </c>
      <c r="D129" s="25">
        <v>44236</v>
      </c>
      <c r="E129" t="s">
        <v>1161</v>
      </c>
      <c r="F129">
        <v>1179.23</v>
      </c>
      <c r="G129" t="s">
        <v>1172</v>
      </c>
      <c r="H129" t="s">
        <v>1186</v>
      </c>
      <c r="I129" s="6" t="s">
        <v>1180</v>
      </c>
    </row>
    <row r="130" spans="1:9" x14ac:dyDescent="0.3">
      <c r="A130" s="34" t="s">
        <v>22</v>
      </c>
      <c r="B130" s="3" t="s">
        <v>182</v>
      </c>
      <c r="C130" t="s">
        <v>734</v>
      </c>
      <c r="D130" s="25">
        <v>45416</v>
      </c>
      <c r="E130" s="3" t="s">
        <v>1158</v>
      </c>
      <c r="F130">
        <v>595.35</v>
      </c>
      <c r="G130" t="s">
        <v>1172</v>
      </c>
      <c r="H130" t="s">
        <v>1197</v>
      </c>
      <c r="I130" s="6" t="s">
        <v>1196</v>
      </c>
    </row>
    <row r="131" spans="1:9" x14ac:dyDescent="0.3">
      <c r="A131" t="s">
        <v>183</v>
      </c>
      <c r="B131" s="3" t="s">
        <v>184</v>
      </c>
      <c r="C131" s="3" t="s">
        <v>735</v>
      </c>
      <c r="D131" s="25">
        <v>43930</v>
      </c>
      <c r="E131" t="s">
        <v>1156</v>
      </c>
      <c r="F131">
        <v>1723.47</v>
      </c>
      <c r="G131" t="s">
        <v>1175</v>
      </c>
      <c r="H131" t="s">
        <v>1189</v>
      </c>
      <c r="I131" t="s">
        <v>1180</v>
      </c>
    </row>
    <row r="132" spans="1:9" x14ac:dyDescent="0.3">
      <c r="A132" t="s">
        <v>185</v>
      </c>
      <c r="B132" t="s">
        <v>186</v>
      </c>
      <c r="C132" t="s">
        <v>736</v>
      </c>
      <c r="D132" s="25">
        <v>43043</v>
      </c>
      <c r="E132" t="s">
        <v>1170</v>
      </c>
      <c r="F132">
        <v>1920.39</v>
      </c>
      <c r="G132" t="s">
        <v>1172</v>
      </c>
      <c r="I132" t="s">
        <v>1179</v>
      </c>
    </row>
    <row r="133" spans="1:9" x14ac:dyDescent="0.3">
      <c r="A133" t="s">
        <v>142</v>
      </c>
      <c r="B133" t="s">
        <v>187</v>
      </c>
      <c r="C133" t="s">
        <v>1236</v>
      </c>
      <c r="D133" s="25">
        <v>43494</v>
      </c>
      <c r="E133" t="s">
        <v>1164</v>
      </c>
      <c r="F133">
        <v>570.21</v>
      </c>
      <c r="I133" t="s">
        <v>1185</v>
      </c>
    </row>
    <row r="134" spans="1:9" x14ac:dyDescent="0.3">
      <c r="A134" t="s">
        <v>188</v>
      </c>
      <c r="B134" t="s">
        <v>62</v>
      </c>
      <c r="C134" t="s">
        <v>737</v>
      </c>
      <c r="D134" s="25">
        <v>42776</v>
      </c>
      <c r="E134" t="s">
        <v>1151</v>
      </c>
      <c r="F134">
        <v>1450.15</v>
      </c>
      <c r="G134" t="s">
        <v>1173</v>
      </c>
      <c r="H134" t="s">
        <v>1199</v>
      </c>
    </row>
    <row r="135" spans="1:9" x14ac:dyDescent="0.3">
      <c r="A135" t="s">
        <v>189</v>
      </c>
      <c r="B135" t="s">
        <v>190</v>
      </c>
      <c r="C135" s="3" t="s">
        <v>738</v>
      </c>
      <c r="D135" s="25">
        <v>42777</v>
      </c>
      <c r="E135" t="s">
        <v>1163</v>
      </c>
      <c r="F135">
        <v>1438.28</v>
      </c>
      <c r="G135" t="s">
        <v>1175</v>
      </c>
      <c r="H135" t="s">
        <v>1178</v>
      </c>
      <c r="I135" t="s">
        <v>1185</v>
      </c>
    </row>
    <row r="136" spans="1:9" x14ac:dyDescent="0.3">
      <c r="A136" t="s">
        <v>191</v>
      </c>
      <c r="B136" t="s">
        <v>192</v>
      </c>
      <c r="C136" s="3" t="s">
        <v>739</v>
      </c>
      <c r="D136" s="25">
        <v>42778</v>
      </c>
      <c r="E136" t="s">
        <v>1244</v>
      </c>
      <c r="F136">
        <v>615.67999999999995</v>
      </c>
      <c r="G136" t="s">
        <v>1175</v>
      </c>
      <c r="H136" t="s">
        <v>1193</v>
      </c>
      <c r="I136" t="s">
        <v>1180</v>
      </c>
    </row>
    <row r="137" spans="1:9" x14ac:dyDescent="0.3">
      <c r="A137" t="s">
        <v>193</v>
      </c>
      <c r="B137" t="s">
        <v>194</v>
      </c>
      <c r="C137" s="4" t="s">
        <v>740</v>
      </c>
      <c r="D137" s="25">
        <v>44998</v>
      </c>
      <c r="E137" t="s">
        <v>1152</v>
      </c>
      <c r="F137">
        <v>1616.09</v>
      </c>
      <c r="G137" t="s">
        <v>1176</v>
      </c>
      <c r="H137" t="s">
        <v>1195</v>
      </c>
      <c r="I137" t="s">
        <v>1183</v>
      </c>
    </row>
    <row r="138" spans="1:9" x14ac:dyDescent="0.3">
      <c r="A138" t="s">
        <v>195</v>
      </c>
      <c r="B138" t="s">
        <v>196</v>
      </c>
      <c r="C138" s="3" t="s">
        <v>741</v>
      </c>
      <c r="D138" s="25">
        <v>44241</v>
      </c>
      <c r="E138" t="s">
        <v>1168</v>
      </c>
      <c r="F138">
        <v>1457.68</v>
      </c>
      <c r="G138" t="s">
        <v>1173</v>
      </c>
      <c r="H138" t="s">
        <v>1188</v>
      </c>
      <c r="I138" t="s">
        <v>1185</v>
      </c>
    </row>
    <row r="139" spans="1:9" x14ac:dyDescent="0.3">
      <c r="A139" t="s">
        <v>197</v>
      </c>
      <c r="B139" t="s">
        <v>198</v>
      </c>
      <c r="C139" s="17" t="s">
        <v>742</v>
      </c>
      <c r="D139" s="21">
        <v>43812</v>
      </c>
      <c r="E139" t="s">
        <v>1156</v>
      </c>
      <c r="F139">
        <v>271.95999999999998</v>
      </c>
      <c r="G139" t="s">
        <v>1172</v>
      </c>
      <c r="H139" t="s">
        <v>1189</v>
      </c>
    </row>
    <row r="140" spans="1:9" x14ac:dyDescent="0.3">
      <c r="A140" t="s">
        <v>199</v>
      </c>
      <c r="C140" s="18" t="s">
        <v>743</v>
      </c>
      <c r="D140" s="21">
        <v>43127</v>
      </c>
      <c r="F140">
        <v>1619.12</v>
      </c>
      <c r="H140" t="s">
        <v>1197</v>
      </c>
      <c r="I140" t="s">
        <v>1177</v>
      </c>
    </row>
    <row r="141" spans="1:9" x14ac:dyDescent="0.3">
      <c r="A141" t="s">
        <v>200</v>
      </c>
      <c r="B141" t="s">
        <v>201</v>
      </c>
      <c r="C141" s="16" t="s">
        <v>744</v>
      </c>
      <c r="D141" s="21"/>
      <c r="E141" t="s">
        <v>1151</v>
      </c>
      <c r="F141">
        <v>1076.45</v>
      </c>
      <c r="G141" t="s">
        <v>1175</v>
      </c>
      <c r="H141" t="s">
        <v>1193</v>
      </c>
      <c r="I141" t="s">
        <v>1180</v>
      </c>
    </row>
    <row r="142" spans="1:9" x14ac:dyDescent="0.3">
      <c r="B142" t="s">
        <v>202</v>
      </c>
      <c r="C142" s="16" t="s">
        <v>745</v>
      </c>
      <c r="D142" s="21">
        <v>41896</v>
      </c>
      <c r="E142" t="s">
        <v>1159</v>
      </c>
      <c r="F142">
        <v>1757.07</v>
      </c>
      <c r="H142" t="s">
        <v>1195</v>
      </c>
      <c r="I142" t="s">
        <v>1177</v>
      </c>
    </row>
    <row r="143" spans="1:9" x14ac:dyDescent="0.3">
      <c r="A143" t="s">
        <v>203</v>
      </c>
      <c r="B143" t="s">
        <v>204</v>
      </c>
      <c r="C143" s="16" t="s">
        <v>746</v>
      </c>
      <c r="D143" s="21">
        <v>45130</v>
      </c>
      <c r="E143" t="s">
        <v>1153</v>
      </c>
      <c r="F143">
        <v>117.88</v>
      </c>
      <c r="G143" t="s">
        <v>1174</v>
      </c>
      <c r="H143" t="s">
        <v>1193</v>
      </c>
      <c r="I143" t="s">
        <v>1180</v>
      </c>
    </row>
    <row r="144" spans="1:9" x14ac:dyDescent="0.3">
      <c r="A144" t="s">
        <v>205</v>
      </c>
      <c r="B144" t="s">
        <v>206</v>
      </c>
      <c r="C144" s="17" t="s">
        <v>747</v>
      </c>
      <c r="D144" s="21">
        <v>45131</v>
      </c>
      <c r="E144" t="s">
        <v>1163</v>
      </c>
      <c r="F144">
        <v>808.92</v>
      </c>
      <c r="G144" t="s">
        <v>1173</v>
      </c>
      <c r="I144" t="s">
        <v>1196</v>
      </c>
    </row>
    <row r="145" spans="1:9" x14ac:dyDescent="0.3">
      <c r="A145" t="s">
        <v>207</v>
      </c>
      <c r="B145" t="s">
        <v>208</v>
      </c>
      <c r="C145" s="16" t="s">
        <v>748</v>
      </c>
      <c r="D145" s="21">
        <v>45132</v>
      </c>
      <c r="E145" t="s">
        <v>1163</v>
      </c>
      <c r="F145">
        <v>640.5</v>
      </c>
      <c r="G145" t="s">
        <v>1175</v>
      </c>
      <c r="H145" t="s">
        <v>1193</v>
      </c>
      <c r="I145" t="s">
        <v>1179</v>
      </c>
    </row>
    <row r="146" spans="1:9" x14ac:dyDescent="0.3">
      <c r="A146" t="s">
        <v>209</v>
      </c>
      <c r="B146" t="s">
        <v>210</v>
      </c>
      <c r="C146" s="16" t="s">
        <v>749</v>
      </c>
      <c r="D146" s="21">
        <v>45133</v>
      </c>
      <c r="F146">
        <v>1819.92</v>
      </c>
      <c r="G146" t="s">
        <v>1173</v>
      </c>
      <c r="H146" t="s">
        <v>1193</v>
      </c>
      <c r="I146" t="s">
        <v>1185</v>
      </c>
    </row>
    <row r="147" spans="1:9" x14ac:dyDescent="0.3">
      <c r="B147" t="s">
        <v>190</v>
      </c>
      <c r="C147" s="17" t="s">
        <v>750</v>
      </c>
      <c r="D147" s="21">
        <v>42889</v>
      </c>
      <c r="E147" t="s">
        <v>1165</v>
      </c>
      <c r="F147">
        <v>91.44</v>
      </c>
      <c r="H147" t="s">
        <v>1181</v>
      </c>
      <c r="I147" t="s">
        <v>1177</v>
      </c>
    </row>
    <row r="148" spans="1:9" x14ac:dyDescent="0.3">
      <c r="A148" t="s">
        <v>211</v>
      </c>
      <c r="B148" t="s">
        <v>212</v>
      </c>
      <c r="C148" s="16" t="s">
        <v>751</v>
      </c>
      <c r="D148" s="21">
        <v>44254</v>
      </c>
      <c r="E148" t="s">
        <v>1170</v>
      </c>
      <c r="F148">
        <v>222.57</v>
      </c>
      <c r="G148" t="s">
        <v>1172</v>
      </c>
      <c r="H148" t="s">
        <v>1191</v>
      </c>
      <c r="I148" s="3" t="s">
        <v>1177</v>
      </c>
    </row>
    <row r="149" spans="1:9" x14ac:dyDescent="0.3">
      <c r="A149" t="s">
        <v>213</v>
      </c>
      <c r="B149" t="s">
        <v>11</v>
      </c>
      <c r="C149" s="16" t="s">
        <v>752</v>
      </c>
      <c r="D149" s="21">
        <v>44464</v>
      </c>
      <c r="E149" t="s">
        <v>1168</v>
      </c>
      <c r="G149" t="s">
        <v>1173</v>
      </c>
      <c r="H149" t="s">
        <v>1187</v>
      </c>
      <c r="I149" s="3" t="s">
        <v>1177</v>
      </c>
    </row>
    <row r="150" spans="1:9" x14ac:dyDescent="0.3">
      <c r="A150" t="s">
        <v>214</v>
      </c>
      <c r="C150" s="18" t="s">
        <v>753</v>
      </c>
      <c r="D150" s="25">
        <v>44465</v>
      </c>
      <c r="F150">
        <v>229.57</v>
      </c>
      <c r="G150" t="s">
        <v>1171</v>
      </c>
      <c r="H150" t="s">
        <v>1186</v>
      </c>
      <c r="I150" s="3" t="s">
        <v>1183</v>
      </c>
    </row>
    <row r="151" spans="1:9" x14ac:dyDescent="0.3">
      <c r="A151" t="s">
        <v>92</v>
      </c>
      <c r="B151" t="s">
        <v>215</v>
      </c>
      <c r="C151" s="17" t="s">
        <v>754</v>
      </c>
      <c r="D151" s="25">
        <v>42811</v>
      </c>
      <c r="E151" t="s">
        <v>1156</v>
      </c>
      <c r="G151" t="s">
        <v>1171</v>
      </c>
      <c r="H151" t="s">
        <v>1189</v>
      </c>
      <c r="I151" s="3" t="s">
        <v>1179</v>
      </c>
    </row>
    <row r="152" spans="1:9" x14ac:dyDescent="0.3">
      <c r="A152" t="s">
        <v>216</v>
      </c>
      <c r="B152" t="s">
        <v>217</v>
      </c>
      <c r="C152" s="3" t="s">
        <v>755</v>
      </c>
      <c r="D152" s="25">
        <v>43259</v>
      </c>
      <c r="E152" t="s">
        <v>1162</v>
      </c>
      <c r="F152">
        <v>627.95000000000005</v>
      </c>
      <c r="G152" t="s">
        <v>1172</v>
      </c>
      <c r="I152" s="3" t="s">
        <v>1183</v>
      </c>
    </row>
    <row r="153" spans="1:9" x14ac:dyDescent="0.3">
      <c r="A153" t="s">
        <v>218</v>
      </c>
      <c r="B153" t="s">
        <v>219</v>
      </c>
      <c r="C153" s="3" t="s">
        <v>756</v>
      </c>
      <c r="D153" s="25">
        <v>42413</v>
      </c>
      <c r="E153" t="s">
        <v>1170</v>
      </c>
      <c r="F153">
        <v>210.14</v>
      </c>
      <c r="G153" t="s">
        <v>1171</v>
      </c>
      <c r="I153" s="3" t="s">
        <v>1185</v>
      </c>
    </row>
    <row r="154" spans="1:9" x14ac:dyDescent="0.3">
      <c r="A154" t="s">
        <v>220</v>
      </c>
      <c r="B154" t="s">
        <v>221</v>
      </c>
      <c r="C154" s="3" t="s">
        <v>757</v>
      </c>
      <c r="D154" s="25">
        <v>45103</v>
      </c>
      <c r="E154" t="s">
        <v>1162</v>
      </c>
      <c r="F154">
        <v>1266.82</v>
      </c>
      <c r="G154" t="s">
        <v>1174</v>
      </c>
      <c r="H154" t="s">
        <v>1194</v>
      </c>
      <c r="I154" t="s">
        <v>1185</v>
      </c>
    </row>
    <row r="155" spans="1:9" x14ac:dyDescent="0.3">
      <c r="A155" t="s">
        <v>222</v>
      </c>
      <c r="C155" t="s">
        <v>758</v>
      </c>
      <c r="D155" s="25">
        <v>43450</v>
      </c>
      <c r="E155" s="34" t="s">
        <v>1166</v>
      </c>
      <c r="F155">
        <v>1007.75</v>
      </c>
      <c r="H155" t="s">
        <v>1200</v>
      </c>
      <c r="I155" t="s">
        <v>1180</v>
      </c>
    </row>
    <row r="156" spans="1:9" x14ac:dyDescent="0.3">
      <c r="A156" t="s">
        <v>223</v>
      </c>
      <c r="B156" t="s">
        <v>224</v>
      </c>
      <c r="C156" t="s">
        <v>759</v>
      </c>
      <c r="D156" s="25">
        <v>44111</v>
      </c>
      <c r="E156" s="34" t="s">
        <v>1165</v>
      </c>
      <c r="F156">
        <v>943.63</v>
      </c>
      <c r="G156" t="s">
        <v>1173</v>
      </c>
      <c r="H156" s="16" t="s">
        <v>1202</v>
      </c>
      <c r="I156" t="s">
        <v>1179</v>
      </c>
    </row>
    <row r="157" spans="1:9" x14ac:dyDescent="0.3">
      <c r="A157" t="s">
        <v>225</v>
      </c>
      <c r="B157" t="s">
        <v>204</v>
      </c>
      <c r="C157" t="s">
        <v>1237</v>
      </c>
      <c r="D157" s="25">
        <v>44112</v>
      </c>
      <c r="E157" s="34" t="s">
        <v>1170</v>
      </c>
      <c r="F157">
        <v>302.54000000000002</v>
      </c>
      <c r="H157" s="16" t="s">
        <v>1191</v>
      </c>
      <c r="I157" t="s">
        <v>1177</v>
      </c>
    </row>
    <row r="158" spans="1:9" x14ac:dyDescent="0.3">
      <c r="A158" t="s">
        <v>20</v>
      </c>
      <c r="B158" t="s">
        <v>11</v>
      </c>
      <c r="C158" t="s">
        <v>760</v>
      </c>
      <c r="D158" s="25">
        <v>44113</v>
      </c>
      <c r="E158" s="34" t="s">
        <v>1156</v>
      </c>
      <c r="F158">
        <v>94.51</v>
      </c>
      <c r="G158" t="s">
        <v>1173</v>
      </c>
      <c r="H158" s="16" t="s">
        <v>1195</v>
      </c>
      <c r="I158" t="s">
        <v>1185</v>
      </c>
    </row>
    <row r="159" spans="1:9" x14ac:dyDescent="0.3">
      <c r="B159" t="s">
        <v>226</v>
      </c>
      <c r="C159" s="3" t="s">
        <v>761</v>
      </c>
      <c r="D159" s="25">
        <v>44114</v>
      </c>
      <c r="E159" s="34" t="s">
        <v>1169</v>
      </c>
      <c r="F159">
        <v>624.96</v>
      </c>
      <c r="G159" t="s">
        <v>1173</v>
      </c>
      <c r="H159" s="16" t="s">
        <v>1184</v>
      </c>
      <c r="I159" t="s">
        <v>1185</v>
      </c>
    </row>
    <row r="160" spans="1:9" x14ac:dyDescent="0.3">
      <c r="A160" t="s">
        <v>227</v>
      </c>
      <c r="B160" t="s">
        <v>228</v>
      </c>
      <c r="C160" t="s">
        <v>762</v>
      </c>
      <c r="D160" s="4">
        <v>45148</v>
      </c>
      <c r="E160" s="34" t="s">
        <v>1166</v>
      </c>
      <c r="F160">
        <v>726.73</v>
      </c>
      <c r="G160" t="s">
        <v>1175</v>
      </c>
      <c r="H160" s="16" t="s">
        <v>1197</v>
      </c>
      <c r="I160" t="s">
        <v>1196</v>
      </c>
    </row>
    <row r="161" spans="1:9" x14ac:dyDescent="0.3">
      <c r="A161" t="s">
        <v>229</v>
      </c>
      <c r="B161" t="s">
        <v>230</v>
      </c>
      <c r="C161" t="s">
        <v>763</v>
      </c>
      <c r="D161" s="4">
        <v>45022</v>
      </c>
      <c r="E161" s="34" t="s">
        <v>1164</v>
      </c>
      <c r="F161">
        <v>1853.95</v>
      </c>
      <c r="G161" t="s">
        <v>1171</v>
      </c>
      <c r="H161" s="16" t="s">
        <v>1202</v>
      </c>
      <c r="I161" t="s">
        <v>1183</v>
      </c>
    </row>
    <row r="162" spans="1:9" x14ac:dyDescent="0.3">
      <c r="A162" t="s">
        <v>200</v>
      </c>
      <c r="B162" t="s">
        <v>231</v>
      </c>
      <c r="C162" t="s">
        <v>764</v>
      </c>
      <c r="E162" s="36" t="s">
        <v>1167</v>
      </c>
      <c r="F162">
        <v>1965.89</v>
      </c>
      <c r="G162" t="s">
        <v>1171</v>
      </c>
      <c r="H162" s="16" t="s">
        <v>1192</v>
      </c>
    </row>
    <row r="163" spans="1:9" x14ac:dyDescent="0.3">
      <c r="A163" t="s">
        <v>232</v>
      </c>
      <c r="B163" t="s">
        <v>233</v>
      </c>
      <c r="C163" t="s">
        <v>765</v>
      </c>
      <c r="D163" s="42">
        <v>43928</v>
      </c>
      <c r="E163" s="36" t="s">
        <v>1170</v>
      </c>
      <c r="F163">
        <v>1351.69</v>
      </c>
      <c r="G163" t="s">
        <v>1174</v>
      </c>
      <c r="H163" s="16" t="s">
        <v>1192</v>
      </c>
      <c r="I163" t="s">
        <v>1177</v>
      </c>
    </row>
    <row r="164" spans="1:9" x14ac:dyDescent="0.3">
      <c r="A164" t="s">
        <v>234</v>
      </c>
      <c r="B164" t="s">
        <v>235</v>
      </c>
      <c r="C164" t="s">
        <v>766</v>
      </c>
      <c r="D164" s="42">
        <v>42316</v>
      </c>
      <c r="E164" s="36" t="s">
        <v>1161</v>
      </c>
      <c r="F164">
        <v>160.1</v>
      </c>
      <c r="G164" t="s">
        <v>1175</v>
      </c>
      <c r="H164" s="16"/>
      <c r="I164" t="s">
        <v>1185</v>
      </c>
    </row>
    <row r="165" spans="1:9" x14ac:dyDescent="0.3">
      <c r="B165" t="s">
        <v>236</v>
      </c>
      <c r="C165" s="3" t="s">
        <v>767</v>
      </c>
      <c r="D165" s="42">
        <v>42317</v>
      </c>
      <c r="E165" s="36" t="s">
        <v>1157</v>
      </c>
      <c r="H165" s="16" t="s">
        <v>1192</v>
      </c>
      <c r="I165" t="s">
        <v>1185</v>
      </c>
    </row>
    <row r="166" spans="1:9" x14ac:dyDescent="0.3">
      <c r="A166" t="s">
        <v>237</v>
      </c>
      <c r="B166" t="s">
        <v>238</v>
      </c>
      <c r="C166" s="3" t="s">
        <v>768</v>
      </c>
      <c r="D166" s="42">
        <v>45029</v>
      </c>
      <c r="E166" s="3" t="s">
        <v>1160</v>
      </c>
      <c r="F166">
        <v>729.37</v>
      </c>
      <c r="G166" t="s">
        <v>1176</v>
      </c>
      <c r="H166" t="s">
        <v>1200</v>
      </c>
      <c r="I166" t="s">
        <v>1177</v>
      </c>
    </row>
    <row r="167" spans="1:9" x14ac:dyDescent="0.3">
      <c r="A167" t="s">
        <v>32</v>
      </c>
      <c r="B167" t="s">
        <v>239</v>
      </c>
      <c r="C167" s="3" t="s">
        <v>769</v>
      </c>
      <c r="D167" s="42">
        <v>42050</v>
      </c>
      <c r="E167" s="3" t="s">
        <v>1161</v>
      </c>
      <c r="F167">
        <v>601.53</v>
      </c>
      <c r="G167" t="s">
        <v>1176</v>
      </c>
      <c r="H167" t="s">
        <v>1201</v>
      </c>
      <c r="I167" t="s">
        <v>1185</v>
      </c>
    </row>
    <row r="168" spans="1:9" x14ac:dyDescent="0.3">
      <c r="A168" t="s">
        <v>240</v>
      </c>
      <c r="B168" t="s">
        <v>241</v>
      </c>
      <c r="C168" s="3" t="s">
        <v>770</v>
      </c>
      <c r="D168" s="42">
        <v>45251</v>
      </c>
      <c r="E168" t="s">
        <v>1161</v>
      </c>
      <c r="F168">
        <v>1591.65</v>
      </c>
      <c r="G168" t="s">
        <v>1173</v>
      </c>
      <c r="H168" t="s">
        <v>1194</v>
      </c>
      <c r="I168" t="s">
        <v>1180</v>
      </c>
    </row>
    <row r="169" spans="1:9" x14ac:dyDescent="0.3">
      <c r="A169" t="s">
        <v>242</v>
      </c>
      <c r="B169" t="s">
        <v>243</v>
      </c>
      <c r="C169" t="s">
        <v>771</v>
      </c>
      <c r="D169" s="42">
        <v>45252</v>
      </c>
      <c r="E169" t="s">
        <v>1169</v>
      </c>
      <c r="F169">
        <v>1809.07</v>
      </c>
      <c r="G169" t="s">
        <v>1175</v>
      </c>
      <c r="I169" t="s">
        <v>1180</v>
      </c>
    </row>
    <row r="170" spans="1:9" x14ac:dyDescent="0.3">
      <c r="A170" t="s">
        <v>35</v>
      </c>
      <c r="B170" t="s">
        <v>244</v>
      </c>
      <c r="C170" t="s">
        <v>772</v>
      </c>
      <c r="D170" s="42">
        <v>43038</v>
      </c>
      <c r="E170" t="s">
        <v>1152</v>
      </c>
      <c r="G170" t="s">
        <v>1172</v>
      </c>
      <c r="H170" t="s">
        <v>1190</v>
      </c>
      <c r="I170" t="s">
        <v>1183</v>
      </c>
    </row>
    <row r="171" spans="1:9" x14ac:dyDescent="0.3">
      <c r="A171" t="s">
        <v>34</v>
      </c>
      <c r="B171" t="s">
        <v>245</v>
      </c>
      <c r="C171" t="s">
        <v>773</v>
      </c>
      <c r="D171" s="42">
        <v>43039</v>
      </c>
      <c r="E171" t="s">
        <v>1165</v>
      </c>
      <c r="F171">
        <v>93.84</v>
      </c>
      <c r="G171" t="s">
        <v>1171</v>
      </c>
      <c r="H171" t="s">
        <v>1190</v>
      </c>
      <c r="I171" t="s">
        <v>1177</v>
      </c>
    </row>
    <row r="172" spans="1:9" x14ac:dyDescent="0.3">
      <c r="A172" t="s">
        <v>246</v>
      </c>
      <c r="B172" t="s">
        <v>247</v>
      </c>
      <c r="C172" t="s">
        <v>774</v>
      </c>
      <c r="D172" s="42">
        <v>43399</v>
      </c>
      <c r="F172">
        <v>603.97</v>
      </c>
      <c r="G172" t="s">
        <v>1176</v>
      </c>
      <c r="H172" t="s">
        <v>1195</v>
      </c>
      <c r="I172" t="s">
        <v>1183</v>
      </c>
    </row>
    <row r="173" spans="1:9" x14ac:dyDescent="0.3">
      <c r="A173" t="s">
        <v>26</v>
      </c>
      <c r="B173" t="s">
        <v>248</v>
      </c>
      <c r="C173" t="s">
        <v>775</v>
      </c>
      <c r="D173" s="42">
        <v>43387</v>
      </c>
      <c r="E173" t="s">
        <v>1161</v>
      </c>
      <c r="G173" t="s">
        <v>1173</v>
      </c>
      <c r="H173" t="s">
        <v>1191</v>
      </c>
    </row>
    <row r="174" spans="1:9" x14ac:dyDescent="0.3">
      <c r="A174" t="s">
        <v>249</v>
      </c>
      <c r="B174" t="s">
        <v>250</v>
      </c>
      <c r="C174" t="s">
        <v>776</v>
      </c>
      <c r="D174" s="42">
        <v>42308</v>
      </c>
      <c r="E174" t="s">
        <v>1169</v>
      </c>
      <c r="F174">
        <v>1934.91</v>
      </c>
      <c r="G174" t="s">
        <v>1172</v>
      </c>
      <c r="H174" t="s">
        <v>1198</v>
      </c>
      <c r="I174" t="s">
        <v>1177</v>
      </c>
    </row>
    <row r="175" spans="1:9" x14ac:dyDescent="0.3">
      <c r="A175" t="s">
        <v>251</v>
      </c>
      <c r="B175" t="s">
        <v>252</v>
      </c>
      <c r="C175" t="s">
        <v>777</v>
      </c>
      <c r="D175" s="42">
        <v>42309</v>
      </c>
      <c r="E175" t="s">
        <v>1158</v>
      </c>
      <c r="F175">
        <v>585.80999999999995</v>
      </c>
      <c r="G175" t="s">
        <v>1176</v>
      </c>
      <c r="H175" t="s">
        <v>1178</v>
      </c>
      <c r="I175" t="s">
        <v>1196</v>
      </c>
    </row>
    <row r="176" spans="1:9" x14ac:dyDescent="0.3">
      <c r="A176" t="s">
        <v>253</v>
      </c>
      <c r="B176" t="s">
        <v>254</v>
      </c>
      <c r="C176" t="s">
        <v>778</v>
      </c>
      <c r="E176" t="s">
        <v>1163</v>
      </c>
      <c r="F176">
        <v>684.3</v>
      </c>
      <c r="G176" t="s">
        <v>1172</v>
      </c>
      <c r="H176" t="s">
        <v>1198</v>
      </c>
    </row>
    <row r="177" spans="1:9" x14ac:dyDescent="0.3">
      <c r="A177" t="s">
        <v>255</v>
      </c>
      <c r="B177" t="s">
        <v>256</v>
      </c>
      <c r="C177" t="s">
        <v>779</v>
      </c>
      <c r="D177" s="1">
        <v>45093</v>
      </c>
      <c r="E177" t="s">
        <v>1158</v>
      </c>
      <c r="F177">
        <v>73.260000000000005</v>
      </c>
      <c r="G177" t="s">
        <v>1173</v>
      </c>
      <c r="H177" t="s">
        <v>1198</v>
      </c>
      <c r="I177" t="s">
        <v>1180</v>
      </c>
    </row>
    <row r="178" spans="1:9" x14ac:dyDescent="0.3">
      <c r="A178" t="s">
        <v>257</v>
      </c>
      <c r="B178" t="s">
        <v>258</v>
      </c>
      <c r="C178" t="s">
        <v>780</v>
      </c>
      <c r="D178" s="1">
        <v>43909</v>
      </c>
      <c r="E178" t="s">
        <v>1156</v>
      </c>
      <c r="F178">
        <v>617.09</v>
      </c>
      <c r="G178" t="s">
        <v>1174</v>
      </c>
      <c r="H178" t="s">
        <v>1202</v>
      </c>
      <c r="I178" t="s">
        <v>1179</v>
      </c>
    </row>
    <row r="179" spans="1:9" x14ac:dyDescent="0.3">
      <c r="A179" t="s">
        <v>259</v>
      </c>
      <c r="B179" t="s">
        <v>260</v>
      </c>
      <c r="C179" t="s">
        <v>781</v>
      </c>
      <c r="D179" s="1">
        <v>43910</v>
      </c>
      <c r="E179" t="s">
        <v>1158</v>
      </c>
      <c r="F179">
        <v>1783.46</v>
      </c>
      <c r="G179" t="s">
        <v>1171</v>
      </c>
      <c r="I179" t="s">
        <v>1177</v>
      </c>
    </row>
    <row r="180" spans="1:9" x14ac:dyDescent="0.3">
      <c r="A180" t="s">
        <v>123</v>
      </c>
      <c r="B180" t="s">
        <v>261</v>
      </c>
      <c r="C180" t="s">
        <v>782</v>
      </c>
      <c r="D180" s="1">
        <v>43911</v>
      </c>
      <c r="E180" t="s">
        <v>1163</v>
      </c>
      <c r="F180">
        <v>1555.13</v>
      </c>
      <c r="G180" t="s">
        <v>1171</v>
      </c>
      <c r="H180" t="s">
        <v>1184</v>
      </c>
      <c r="I180" t="s">
        <v>1183</v>
      </c>
    </row>
    <row r="181" spans="1:9" x14ac:dyDescent="0.3">
      <c r="A181" t="s">
        <v>262</v>
      </c>
      <c r="B181" t="s">
        <v>263</v>
      </c>
      <c r="C181" t="s">
        <v>783</v>
      </c>
      <c r="D181" s="1">
        <v>43799</v>
      </c>
      <c r="E181" t="s">
        <v>1164</v>
      </c>
      <c r="F181">
        <v>1668.05</v>
      </c>
      <c r="G181" t="s">
        <v>1172</v>
      </c>
      <c r="H181" t="s">
        <v>1189</v>
      </c>
    </row>
    <row r="182" spans="1:9" x14ac:dyDescent="0.3">
      <c r="A182" t="s">
        <v>154</v>
      </c>
      <c r="B182" t="s">
        <v>82</v>
      </c>
      <c r="C182" t="s">
        <v>784</v>
      </c>
      <c r="F182">
        <v>1339.79</v>
      </c>
      <c r="G182" t="s">
        <v>1173</v>
      </c>
      <c r="H182" t="s">
        <v>1202</v>
      </c>
      <c r="I182" t="s">
        <v>1177</v>
      </c>
    </row>
    <row r="183" spans="1:9" x14ac:dyDescent="0.3">
      <c r="A183" t="s">
        <v>264</v>
      </c>
      <c r="B183" t="s">
        <v>265</v>
      </c>
      <c r="C183" t="s">
        <v>785</v>
      </c>
      <c r="D183" s="1">
        <v>42900</v>
      </c>
      <c r="E183" t="s">
        <v>1152</v>
      </c>
      <c r="F183">
        <v>1777.38</v>
      </c>
      <c r="G183" t="s">
        <v>1172</v>
      </c>
      <c r="H183" t="s">
        <v>1187</v>
      </c>
      <c r="I183" t="s">
        <v>1185</v>
      </c>
    </row>
    <row r="184" spans="1:9" x14ac:dyDescent="0.3">
      <c r="A184" t="s">
        <v>266</v>
      </c>
      <c r="B184" t="s">
        <v>267</v>
      </c>
      <c r="C184" s="34" t="s">
        <v>786</v>
      </c>
      <c r="E184" t="s">
        <v>1165</v>
      </c>
      <c r="F184">
        <v>1156.76</v>
      </c>
      <c r="G184" t="s">
        <v>1175</v>
      </c>
      <c r="H184" t="s">
        <v>1190</v>
      </c>
      <c r="I184" t="s">
        <v>1177</v>
      </c>
    </row>
    <row r="185" spans="1:9" x14ac:dyDescent="0.3">
      <c r="B185" t="s">
        <v>267</v>
      </c>
      <c r="C185" s="34" t="s">
        <v>787</v>
      </c>
      <c r="D185" s="1">
        <v>41952</v>
      </c>
      <c r="E185" t="s">
        <v>1167</v>
      </c>
      <c r="F185">
        <v>52.03</v>
      </c>
    </row>
    <row r="186" spans="1:9" x14ac:dyDescent="0.3">
      <c r="B186" t="s">
        <v>268</v>
      </c>
      <c r="C186" s="34" t="s">
        <v>788</v>
      </c>
      <c r="D186" s="1">
        <v>44396</v>
      </c>
      <c r="E186" t="s">
        <v>1160</v>
      </c>
      <c r="F186">
        <v>469.94</v>
      </c>
      <c r="H186" t="s">
        <v>1190</v>
      </c>
      <c r="I186" t="s">
        <v>1179</v>
      </c>
    </row>
    <row r="187" spans="1:9" x14ac:dyDescent="0.3">
      <c r="A187" t="s">
        <v>269</v>
      </c>
      <c r="B187" t="s">
        <v>270</v>
      </c>
      <c r="C187" s="34" t="s">
        <v>789</v>
      </c>
      <c r="D187" s="1">
        <v>43760</v>
      </c>
      <c r="E187" t="s">
        <v>1166</v>
      </c>
      <c r="F187">
        <v>662.86</v>
      </c>
      <c r="G187" t="s">
        <v>1171</v>
      </c>
      <c r="H187" t="s">
        <v>1194</v>
      </c>
      <c r="I187" t="s">
        <v>1183</v>
      </c>
    </row>
    <row r="188" spans="1:9" x14ac:dyDescent="0.3">
      <c r="A188" t="s">
        <v>22</v>
      </c>
      <c r="B188" t="s">
        <v>271</v>
      </c>
      <c r="C188" s="36" t="s">
        <v>790</v>
      </c>
      <c r="D188" s="1">
        <v>43761</v>
      </c>
      <c r="E188" t="s">
        <v>1169</v>
      </c>
      <c r="F188">
        <v>828.79</v>
      </c>
      <c r="G188" t="s">
        <v>1173</v>
      </c>
      <c r="H188" t="s">
        <v>1198</v>
      </c>
      <c r="I188" t="s">
        <v>1196</v>
      </c>
    </row>
    <row r="189" spans="1:9" x14ac:dyDescent="0.3">
      <c r="A189" t="s">
        <v>272</v>
      </c>
      <c r="B189" t="s">
        <v>273</v>
      </c>
      <c r="C189" s="36" t="s">
        <v>791</v>
      </c>
      <c r="D189" s="1">
        <v>43762</v>
      </c>
      <c r="E189" t="s">
        <v>1167</v>
      </c>
      <c r="F189">
        <v>1542.74</v>
      </c>
      <c r="G189" t="s">
        <v>1173</v>
      </c>
      <c r="H189" t="s">
        <v>1188</v>
      </c>
      <c r="I189" t="s">
        <v>1177</v>
      </c>
    </row>
    <row r="190" spans="1:9" x14ac:dyDescent="0.3">
      <c r="A190" t="s">
        <v>274</v>
      </c>
      <c r="B190" t="s">
        <v>275</v>
      </c>
      <c r="C190" s="36" t="s">
        <v>792</v>
      </c>
      <c r="D190" s="1">
        <v>43763</v>
      </c>
      <c r="E190" t="s">
        <v>1158</v>
      </c>
      <c r="F190">
        <v>853.62</v>
      </c>
      <c r="G190" t="s">
        <v>1175</v>
      </c>
      <c r="I190" t="s">
        <v>1180</v>
      </c>
    </row>
    <row r="191" spans="1:9" x14ac:dyDescent="0.3">
      <c r="A191" t="s">
        <v>88</v>
      </c>
      <c r="C191" s="34" t="s">
        <v>793</v>
      </c>
      <c r="D191" s="1">
        <v>42583</v>
      </c>
      <c r="E191" t="s">
        <v>1162</v>
      </c>
      <c r="F191">
        <v>507.88</v>
      </c>
      <c r="G191" t="s">
        <v>1173</v>
      </c>
      <c r="H191" t="s">
        <v>1181</v>
      </c>
      <c r="I191" t="s">
        <v>1196</v>
      </c>
    </row>
    <row r="192" spans="1:9" x14ac:dyDescent="0.3">
      <c r="A192" t="s">
        <v>276</v>
      </c>
      <c r="B192" t="s">
        <v>277</v>
      </c>
      <c r="C192" s="34" t="s">
        <v>794</v>
      </c>
      <c r="D192" s="1">
        <v>42758</v>
      </c>
      <c r="E192" t="s">
        <v>1151</v>
      </c>
      <c r="F192">
        <v>1400.09</v>
      </c>
      <c r="G192" t="s">
        <v>1173</v>
      </c>
      <c r="H192" t="s">
        <v>1190</v>
      </c>
      <c r="I192" s="3" t="s">
        <v>1180</v>
      </c>
    </row>
    <row r="193" spans="1:9" x14ac:dyDescent="0.3">
      <c r="A193" t="s">
        <v>278</v>
      </c>
      <c r="C193" s="34" t="s">
        <v>795</v>
      </c>
      <c r="E193" t="s">
        <v>1165</v>
      </c>
      <c r="F193">
        <v>491.5</v>
      </c>
      <c r="G193" t="s">
        <v>1173</v>
      </c>
      <c r="H193" t="s">
        <v>1184</v>
      </c>
      <c r="I193" s="3" t="s">
        <v>1177</v>
      </c>
    </row>
    <row r="194" spans="1:9" x14ac:dyDescent="0.3">
      <c r="A194" t="s">
        <v>279</v>
      </c>
      <c r="B194" t="s">
        <v>280</v>
      </c>
      <c r="C194" s="34" t="s">
        <v>796</v>
      </c>
      <c r="D194" s="1">
        <v>42531</v>
      </c>
      <c r="E194" t="s">
        <v>1169</v>
      </c>
      <c r="F194">
        <v>1120.54</v>
      </c>
      <c r="G194" t="s">
        <v>1172</v>
      </c>
      <c r="I194" s="3" t="s">
        <v>1180</v>
      </c>
    </row>
    <row r="195" spans="1:9" x14ac:dyDescent="0.3">
      <c r="A195" t="s">
        <v>266</v>
      </c>
      <c r="B195" t="s">
        <v>70</v>
      </c>
      <c r="C195" t="s">
        <v>797</v>
      </c>
      <c r="D195" s="1">
        <v>42511</v>
      </c>
      <c r="E195" t="s">
        <v>1165</v>
      </c>
      <c r="F195">
        <v>1158.83</v>
      </c>
      <c r="G195" t="s">
        <v>1171</v>
      </c>
      <c r="I195" s="3" t="s">
        <v>1180</v>
      </c>
    </row>
    <row r="196" spans="1:9" x14ac:dyDescent="0.3">
      <c r="A196" t="s">
        <v>207</v>
      </c>
      <c r="C196" t="s">
        <v>798</v>
      </c>
      <c r="D196" s="1">
        <v>43401</v>
      </c>
      <c r="E196" t="s">
        <v>1156</v>
      </c>
      <c r="F196">
        <v>1943.14</v>
      </c>
      <c r="G196" t="s">
        <v>1176</v>
      </c>
      <c r="H196" t="s">
        <v>1202</v>
      </c>
      <c r="I196" s="3" t="s">
        <v>1177</v>
      </c>
    </row>
    <row r="197" spans="1:9" x14ac:dyDescent="0.3">
      <c r="A197" t="s">
        <v>281</v>
      </c>
      <c r="B197" t="s">
        <v>282</v>
      </c>
      <c r="C197" t="s">
        <v>799</v>
      </c>
      <c r="D197" s="1">
        <v>42514</v>
      </c>
      <c r="E197" t="s">
        <v>1158</v>
      </c>
      <c r="F197">
        <v>1185.3699999999999</v>
      </c>
      <c r="G197" t="s">
        <v>1175</v>
      </c>
      <c r="H197" t="s">
        <v>1182</v>
      </c>
      <c r="I197" t="s">
        <v>1196</v>
      </c>
    </row>
    <row r="198" spans="1:9" x14ac:dyDescent="0.3">
      <c r="A198" t="s">
        <v>144</v>
      </c>
      <c r="B198" t="s">
        <v>283</v>
      </c>
      <c r="C198" t="s">
        <v>800</v>
      </c>
      <c r="D198" s="1">
        <v>43061</v>
      </c>
      <c r="E198" t="s">
        <v>1166</v>
      </c>
      <c r="F198">
        <v>1800.11</v>
      </c>
      <c r="G198" t="s">
        <v>1175</v>
      </c>
      <c r="H198" t="s">
        <v>1192</v>
      </c>
      <c r="I198" t="s">
        <v>1179</v>
      </c>
    </row>
    <row r="199" spans="1:9" x14ac:dyDescent="0.3">
      <c r="A199" t="s">
        <v>220</v>
      </c>
      <c r="C199" t="s">
        <v>801</v>
      </c>
      <c r="E199" t="s">
        <v>1152</v>
      </c>
      <c r="F199">
        <v>1138.45</v>
      </c>
      <c r="G199" t="s">
        <v>1173</v>
      </c>
      <c r="H199" t="s">
        <v>1197</v>
      </c>
      <c r="I199" t="s">
        <v>1183</v>
      </c>
    </row>
    <row r="200" spans="1:9" x14ac:dyDescent="0.3">
      <c r="A200" t="s">
        <v>284</v>
      </c>
      <c r="B200" t="s">
        <v>285</v>
      </c>
      <c r="C200" t="s">
        <v>802</v>
      </c>
      <c r="D200" s="1">
        <v>44450</v>
      </c>
      <c r="E200" t="s">
        <v>1168</v>
      </c>
      <c r="F200">
        <v>159.57</v>
      </c>
      <c r="G200" t="s">
        <v>1173</v>
      </c>
      <c r="H200" t="s">
        <v>1187</v>
      </c>
    </row>
    <row r="201" spans="1:9" x14ac:dyDescent="0.3">
      <c r="A201" t="s">
        <v>286</v>
      </c>
      <c r="C201" t="s">
        <v>803</v>
      </c>
      <c r="D201" s="1">
        <v>44988</v>
      </c>
      <c r="E201" t="s">
        <v>1158</v>
      </c>
      <c r="F201">
        <v>1660.39</v>
      </c>
      <c r="G201" t="s">
        <v>1175</v>
      </c>
      <c r="H201" t="s">
        <v>1192</v>
      </c>
      <c r="I201" t="s">
        <v>1185</v>
      </c>
    </row>
    <row r="202" spans="1:9" x14ac:dyDescent="0.3">
      <c r="A202" s="3" t="s">
        <v>287</v>
      </c>
      <c r="B202" t="s">
        <v>4</v>
      </c>
      <c r="C202" t="s">
        <v>804</v>
      </c>
      <c r="D202" s="1">
        <v>43592</v>
      </c>
      <c r="F202">
        <v>690.07</v>
      </c>
      <c r="G202" t="s">
        <v>1175</v>
      </c>
      <c r="H202" t="s">
        <v>1195</v>
      </c>
    </row>
    <row r="203" spans="1:9" x14ac:dyDescent="0.3">
      <c r="A203" s="3" t="s">
        <v>288</v>
      </c>
      <c r="B203" t="s">
        <v>289</v>
      </c>
      <c r="C203" t="s">
        <v>805</v>
      </c>
      <c r="D203" s="1">
        <v>43484</v>
      </c>
      <c r="E203" t="s">
        <v>1151</v>
      </c>
      <c r="F203">
        <v>127.58</v>
      </c>
      <c r="H203" t="s">
        <v>1200</v>
      </c>
      <c r="I203" t="s">
        <v>1180</v>
      </c>
    </row>
    <row r="204" spans="1:9" x14ac:dyDescent="0.3">
      <c r="A204" s="3" t="s">
        <v>240</v>
      </c>
      <c r="B204" t="s">
        <v>117</v>
      </c>
      <c r="C204" t="s">
        <v>806</v>
      </c>
      <c r="D204" s="1">
        <v>43485</v>
      </c>
      <c r="F204">
        <v>1810.07</v>
      </c>
      <c r="G204" t="s">
        <v>1172</v>
      </c>
      <c r="H204" t="s">
        <v>1181</v>
      </c>
      <c r="I204" t="s">
        <v>1185</v>
      </c>
    </row>
    <row r="205" spans="1:9" x14ac:dyDescent="0.3">
      <c r="A205" s="3" t="s">
        <v>290</v>
      </c>
      <c r="C205" s="3" t="s">
        <v>807</v>
      </c>
      <c r="D205" s="4">
        <v>41932</v>
      </c>
      <c r="E205" s="6" t="s">
        <v>1166</v>
      </c>
      <c r="F205">
        <v>536.63</v>
      </c>
      <c r="G205" t="s">
        <v>1171</v>
      </c>
      <c r="H205" t="s">
        <v>1201</v>
      </c>
      <c r="I205" t="s">
        <v>1185</v>
      </c>
    </row>
    <row r="206" spans="1:9" x14ac:dyDescent="0.3">
      <c r="A206" s="3" t="s">
        <v>291</v>
      </c>
      <c r="B206" t="s">
        <v>292</v>
      </c>
      <c r="C206" t="s">
        <v>808</v>
      </c>
      <c r="D206" s="4">
        <v>42870</v>
      </c>
      <c r="E206" s="6" t="s">
        <v>1155</v>
      </c>
      <c r="H206" t="s">
        <v>1197</v>
      </c>
      <c r="I206" t="s">
        <v>1183</v>
      </c>
    </row>
    <row r="207" spans="1:9" x14ac:dyDescent="0.3">
      <c r="A207" s="3" t="s">
        <v>293</v>
      </c>
      <c r="B207" t="s">
        <v>294</v>
      </c>
      <c r="C207" t="s">
        <v>809</v>
      </c>
      <c r="D207" s="4">
        <v>42871</v>
      </c>
      <c r="E207" s="6" t="s">
        <v>1157</v>
      </c>
      <c r="F207">
        <v>1974</v>
      </c>
      <c r="G207" t="s">
        <v>1173</v>
      </c>
      <c r="H207" t="s">
        <v>1190</v>
      </c>
      <c r="I207" t="s">
        <v>1179</v>
      </c>
    </row>
    <row r="208" spans="1:9" x14ac:dyDescent="0.3">
      <c r="A208" t="s">
        <v>295</v>
      </c>
      <c r="B208" t="s">
        <v>296</v>
      </c>
      <c r="C208" t="s">
        <v>810</v>
      </c>
      <c r="D208" s="4">
        <v>44942</v>
      </c>
      <c r="E208" s="6" t="s">
        <v>1166</v>
      </c>
      <c r="F208">
        <v>1904.8</v>
      </c>
      <c r="G208" t="s">
        <v>1176</v>
      </c>
      <c r="H208" t="s">
        <v>1201</v>
      </c>
      <c r="I208" t="s">
        <v>1183</v>
      </c>
    </row>
    <row r="209" spans="1:9" x14ac:dyDescent="0.3">
      <c r="A209" t="s">
        <v>49</v>
      </c>
      <c r="B209" t="s">
        <v>297</v>
      </c>
      <c r="C209" t="s">
        <v>811</v>
      </c>
      <c r="D209" s="4">
        <v>43933</v>
      </c>
      <c r="E209" t="s">
        <v>1152</v>
      </c>
      <c r="H209" t="s">
        <v>1188</v>
      </c>
      <c r="I209" t="s">
        <v>1196</v>
      </c>
    </row>
    <row r="210" spans="1:9" x14ac:dyDescent="0.3">
      <c r="A210" t="s">
        <v>298</v>
      </c>
      <c r="B210" t="s">
        <v>127</v>
      </c>
      <c r="C210" t="s">
        <v>812</v>
      </c>
      <c r="D210" s="4">
        <v>43934</v>
      </c>
      <c r="E210" t="s">
        <v>1152</v>
      </c>
      <c r="F210">
        <v>1136.43</v>
      </c>
      <c r="G210" t="s">
        <v>1173</v>
      </c>
      <c r="H210" t="s">
        <v>1200</v>
      </c>
      <c r="I210" t="s">
        <v>1180</v>
      </c>
    </row>
    <row r="211" spans="1:9" x14ac:dyDescent="0.3">
      <c r="A211" t="s">
        <v>73</v>
      </c>
      <c r="B211" t="s">
        <v>299</v>
      </c>
      <c r="C211" t="s">
        <v>813</v>
      </c>
      <c r="D211" s="4">
        <v>43935</v>
      </c>
      <c r="E211" t="s">
        <v>1168</v>
      </c>
      <c r="F211">
        <v>946.58</v>
      </c>
      <c r="G211" t="s">
        <v>1176</v>
      </c>
      <c r="H211" t="s">
        <v>1194</v>
      </c>
      <c r="I211" t="s">
        <v>1177</v>
      </c>
    </row>
    <row r="212" spans="1:9" x14ac:dyDescent="0.3">
      <c r="A212" t="s">
        <v>300</v>
      </c>
      <c r="B212" t="s">
        <v>301</v>
      </c>
      <c r="C212" t="s">
        <v>814</v>
      </c>
      <c r="D212" s="4">
        <v>42909</v>
      </c>
      <c r="E212" t="s">
        <v>1167</v>
      </c>
      <c r="F212">
        <v>1165.18</v>
      </c>
      <c r="G212" t="s">
        <v>1175</v>
      </c>
      <c r="H212" t="s">
        <v>1184</v>
      </c>
      <c r="I212" t="s">
        <v>1185</v>
      </c>
    </row>
    <row r="213" spans="1:9" x14ac:dyDescent="0.3">
      <c r="A213" t="s">
        <v>302</v>
      </c>
      <c r="C213" t="s">
        <v>815</v>
      </c>
      <c r="D213" s="4">
        <v>43632</v>
      </c>
      <c r="E213" t="s">
        <v>1164</v>
      </c>
      <c r="F213">
        <v>1785.82</v>
      </c>
      <c r="G213" t="s">
        <v>1174</v>
      </c>
      <c r="H213" t="s">
        <v>1178</v>
      </c>
      <c r="I213" t="s">
        <v>1196</v>
      </c>
    </row>
    <row r="214" spans="1:9" x14ac:dyDescent="0.3">
      <c r="A214" t="s">
        <v>303</v>
      </c>
      <c r="B214" t="s">
        <v>21</v>
      </c>
      <c r="C214" s="3" t="s">
        <v>816</v>
      </c>
      <c r="D214" s="4">
        <v>43633</v>
      </c>
      <c r="E214" t="s">
        <v>1168</v>
      </c>
      <c r="F214">
        <v>502.85</v>
      </c>
      <c r="H214" t="s">
        <v>1181</v>
      </c>
      <c r="I214" t="s">
        <v>1180</v>
      </c>
    </row>
    <row r="215" spans="1:9" x14ac:dyDescent="0.3">
      <c r="A215" t="s">
        <v>304</v>
      </c>
      <c r="B215" t="s">
        <v>305</v>
      </c>
      <c r="C215" s="3" t="s">
        <v>817</v>
      </c>
      <c r="D215" s="4">
        <v>43941</v>
      </c>
      <c r="F215">
        <v>1796.43</v>
      </c>
      <c r="G215" t="s">
        <v>1174</v>
      </c>
      <c r="H215" t="s">
        <v>1198</v>
      </c>
      <c r="I215" t="s">
        <v>1177</v>
      </c>
    </row>
    <row r="216" spans="1:9" x14ac:dyDescent="0.3">
      <c r="A216" s="4" t="s">
        <v>306</v>
      </c>
      <c r="B216" t="s">
        <v>307</v>
      </c>
      <c r="C216" s="3" t="s">
        <v>818</v>
      </c>
      <c r="D216" s="4">
        <v>43942</v>
      </c>
      <c r="E216" t="s">
        <v>1159</v>
      </c>
      <c r="F216">
        <v>1467.01</v>
      </c>
      <c r="G216" t="s">
        <v>1173</v>
      </c>
      <c r="H216" t="s">
        <v>1182</v>
      </c>
    </row>
    <row r="217" spans="1:9" x14ac:dyDescent="0.3">
      <c r="A217" s="4" t="s">
        <v>308</v>
      </c>
      <c r="B217" t="s">
        <v>309</v>
      </c>
      <c r="C217" s="3" t="s">
        <v>819</v>
      </c>
      <c r="D217" s="4">
        <v>41981</v>
      </c>
      <c r="F217">
        <v>537.30999999999995</v>
      </c>
      <c r="G217" t="s">
        <v>1174</v>
      </c>
      <c r="H217" t="s">
        <v>1181</v>
      </c>
      <c r="I217" t="s">
        <v>1183</v>
      </c>
    </row>
    <row r="218" spans="1:9" x14ac:dyDescent="0.3">
      <c r="A218" s="4" t="s">
        <v>310</v>
      </c>
      <c r="B218" t="s">
        <v>305</v>
      </c>
      <c r="C218" t="s">
        <v>820</v>
      </c>
      <c r="D218" s="4">
        <v>42549</v>
      </c>
      <c r="E218" t="s">
        <v>1157</v>
      </c>
      <c r="F218">
        <v>296.02999999999997</v>
      </c>
      <c r="G218" t="s">
        <v>1176</v>
      </c>
      <c r="H218" t="s">
        <v>1195</v>
      </c>
      <c r="I218" t="s">
        <v>1179</v>
      </c>
    </row>
    <row r="219" spans="1:9" x14ac:dyDescent="0.3">
      <c r="A219" s="4" t="s">
        <v>255</v>
      </c>
      <c r="B219" t="s">
        <v>311</v>
      </c>
      <c r="C219" t="s">
        <v>821</v>
      </c>
      <c r="D219" s="4">
        <v>42708</v>
      </c>
      <c r="E219" t="s">
        <v>1167</v>
      </c>
      <c r="F219">
        <v>1311.96</v>
      </c>
      <c r="G219" t="s">
        <v>1174</v>
      </c>
      <c r="H219" t="s">
        <v>1199</v>
      </c>
      <c r="I219" t="s">
        <v>1183</v>
      </c>
    </row>
    <row r="220" spans="1:9" x14ac:dyDescent="0.3">
      <c r="A220" s="4" t="s">
        <v>312</v>
      </c>
      <c r="B220" t="s">
        <v>313</v>
      </c>
      <c r="C220" t="s">
        <v>822</v>
      </c>
      <c r="D220" s="4">
        <v>42709</v>
      </c>
      <c r="E220" t="s">
        <v>1152</v>
      </c>
      <c r="F220">
        <v>691.42</v>
      </c>
      <c r="G220" t="s">
        <v>1173</v>
      </c>
      <c r="H220" t="s">
        <v>1201</v>
      </c>
      <c r="I220" t="s">
        <v>1183</v>
      </c>
    </row>
    <row r="221" spans="1:9" x14ac:dyDescent="0.3">
      <c r="A221" s="4" t="s">
        <v>314</v>
      </c>
      <c r="B221" t="s">
        <v>315</v>
      </c>
      <c r="C221" t="s">
        <v>823</v>
      </c>
      <c r="D221" s="4">
        <v>41990</v>
      </c>
      <c r="E221" t="s">
        <v>1163</v>
      </c>
      <c r="F221">
        <v>628.45000000000005</v>
      </c>
      <c r="G221" t="s">
        <v>1173</v>
      </c>
      <c r="I221" t="s">
        <v>1179</v>
      </c>
    </row>
    <row r="222" spans="1:9" x14ac:dyDescent="0.3">
      <c r="A222" s="4" t="s">
        <v>2</v>
      </c>
      <c r="B222" t="s">
        <v>316</v>
      </c>
      <c r="C222" t="s">
        <v>824</v>
      </c>
      <c r="D222" s="4">
        <v>43153</v>
      </c>
      <c r="E222" t="s">
        <v>1152</v>
      </c>
      <c r="F222">
        <v>1143.1600000000001</v>
      </c>
      <c r="G222" t="s">
        <v>1172</v>
      </c>
      <c r="H222" t="s">
        <v>1194</v>
      </c>
    </row>
    <row r="223" spans="1:9" x14ac:dyDescent="0.3">
      <c r="A223" t="s">
        <v>317</v>
      </c>
      <c r="B223" t="s">
        <v>318</v>
      </c>
      <c r="C223" t="s">
        <v>825</v>
      </c>
      <c r="D223" s="4">
        <v>43154</v>
      </c>
      <c r="E223" t="s">
        <v>1169</v>
      </c>
      <c r="F223">
        <v>425.99</v>
      </c>
      <c r="G223" t="s">
        <v>1175</v>
      </c>
      <c r="H223" t="s">
        <v>1187</v>
      </c>
      <c r="I223" t="s">
        <v>1179</v>
      </c>
    </row>
    <row r="224" spans="1:9" x14ac:dyDescent="0.3">
      <c r="A224" t="s">
        <v>148</v>
      </c>
      <c r="B224" t="s">
        <v>319</v>
      </c>
      <c r="C224" t="s">
        <v>826</v>
      </c>
      <c r="D224" s="1">
        <v>42893</v>
      </c>
      <c r="E224" t="s">
        <v>1160</v>
      </c>
      <c r="F224">
        <v>1654.12</v>
      </c>
      <c r="G224" t="s">
        <v>1174</v>
      </c>
      <c r="H224" t="s">
        <v>1192</v>
      </c>
    </row>
    <row r="225" spans="1:9" x14ac:dyDescent="0.3">
      <c r="A225" t="s">
        <v>320</v>
      </c>
      <c r="B225" t="s">
        <v>321</v>
      </c>
      <c r="C225" t="s">
        <v>827</v>
      </c>
      <c r="D225" s="1">
        <v>45130</v>
      </c>
      <c r="E225" t="s">
        <v>1170</v>
      </c>
      <c r="F225">
        <v>1424.86</v>
      </c>
      <c r="G225" t="s">
        <v>1174</v>
      </c>
      <c r="H225" t="s">
        <v>1198</v>
      </c>
    </row>
    <row r="226" spans="1:9" x14ac:dyDescent="0.3">
      <c r="A226" t="s">
        <v>322</v>
      </c>
      <c r="B226" t="s">
        <v>323</v>
      </c>
      <c r="C226" t="s">
        <v>828</v>
      </c>
      <c r="D226" s="1">
        <v>43662</v>
      </c>
      <c r="E226" t="s">
        <v>1169</v>
      </c>
      <c r="F226">
        <v>1136.05</v>
      </c>
      <c r="G226" t="s">
        <v>1172</v>
      </c>
      <c r="H226" t="s">
        <v>1188</v>
      </c>
      <c r="I226" t="s">
        <v>1183</v>
      </c>
    </row>
    <row r="227" spans="1:9" x14ac:dyDescent="0.3">
      <c r="A227" t="s">
        <v>324</v>
      </c>
      <c r="B227" t="s">
        <v>325</v>
      </c>
      <c r="C227" t="s">
        <v>829</v>
      </c>
      <c r="D227" s="1">
        <v>43073</v>
      </c>
      <c r="E227" t="s">
        <v>1163</v>
      </c>
      <c r="F227">
        <v>345.68</v>
      </c>
      <c r="G227" t="s">
        <v>1175</v>
      </c>
      <c r="I227" t="s">
        <v>1183</v>
      </c>
    </row>
    <row r="228" spans="1:9" x14ac:dyDescent="0.3">
      <c r="A228" t="s">
        <v>326</v>
      </c>
      <c r="B228" t="s">
        <v>161</v>
      </c>
      <c r="C228" t="s">
        <v>830</v>
      </c>
      <c r="D228" s="1">
        <v>42234</v>
      </c>
      <c r="E228" s="4" t="s">
        <v>1156</v>
      </c>
      <c r="G228" t="s">
        <v>1171</v>
      </c>
      <c r="H228" t="s">
        <v>1195</v>
      </c>
      <c r="I228" t="s">
        <v>1196</v>
      </c>
    </row>
    <row r="229" spans="1:9" x14ac:dyDescent="0.3">
      <c r="B229" t="s">
        <v>327</v>
      </c>
      <c r="C229" t="s">
        <v>831</v>
      </c>
      <c r="D229" s="42">
        <v>42235</v>
      </c>
      <c r="E229" s="4" t="s">
        <v>1167</v>
      </c>
      <c r="F229">
        <v>1400.83</v>
      </c>
      <c r="G229" t="s">
        <v>1172</v>
      </c>
      <c r="H229" t="s">
        <v>1189</v>
      </c>
      <c r="I229" t="s">
        <v>1185</v>
      </c>
    </row>
    <row r="230" spans="1:9" x14ac:dyDescent="0.3">
      <c r="B230" t="s">
        <v>328</v>
      </c>
      <c r="C230" t="s">
        <v>832</v>
      </c>
      <c r="D230" s="42">
        <v>42236</v>
      </c>
      <c r="E230" s="4" t="s">
        <v>1164</v>
      </c>
      <c r="F230">
        <v>1825.42</v>
      </c>
      <c r="G230" t="s">
        <v>1172</v>
      </c>
      <c r="H230" t="s">
        <v>1186</v>
      </c>
      <c r="I230" t="s">
        <v>1196</v>
      </c>
    </row>
    <row r="231" spans="1:9" x14ac:dyDescent="0.3">
      <c r="A231" t="s">
        <v>232</v>
      </c>
      <c r="B231" t="s">
        <v>329</v>
      </c>
      <c r="C231" t="s">
        <v>833</v>
      </c>
      <c r="D231" s="42">
        <v>42708</v>
      </c>
      <c r="E231" s="4" t="s">
        <v>1165</v>
      </c>
      <c r="F231">
        <v>761.49</v>
      </c>
      <c r="G231" t="s">
        <v>1171</v>
      </c>
      <c r="H231" t="s">
        <v>1186</v>
      </c>
      <c r="I231" t="s">
        <v>1179</v>
      </c>
    </row>
    <row r="232" spans="1:9" x14ac:dyDescent="0.3">
      <c r="A232" t="s">
        <v>330</v>
      </c>
      <c r="B232" t="s">
        <v>331</v>
      </c>
      <c r="C232" t="s">
        <v>834</v>
      </c>
      <c r="D232" s="42">
        <v>43143</v>
      </c>
      <c r="E232" s="4" t="s">
        <v>1155</v>
      </c>
      <c r="G232" t="s">
        <v>1171</v>
      </c>
      <c r="H232" t="s">
        <v>1178</v>
      </c>
      <c r="I232" s="3" t="s">
        <v>1196</v>
      </c>
    </row>
    <row r="233" spans="1:9" x14ac:dyDescent="0.3">
      <c r="B233" t="s">
        <v>307</v>
      </c>
      <c r="C233" t="s">
        <v>835</v>
      </c>
      <c r="D233" s="42">
        <v>42453</v>
      </c>
      <c r="E233" t="s">
        <v>1170</v>
      </c>
      <c r="F233">
        <v>1328.1</v>
      </c>
      <c r="G233" t="s">
        <v>1175</v>
      </c>
      <c r="H233" t="s">
        <v>1187</v>
      </c>
      <c r="I233" s="3" t="s">
        <v>1185</v>
      </c>
    </row>
    <row r="234" spans="1:9" x14ac:dyDescent="0.3">
      <c r="A234" t="s">
        <v>332</v>
      </c>
      <c r="B234" t="s">
        <v>248</v>
      </c>
      <c r="C234" t="s">
        <v>836</v>
      </c>
      <c r="D234" s="42">
        <v>44291</v>
      </c>
      <c r="E234" t="s">
        <v>1168</v>
      </c>
      <c r="F234">
        <v>1945.79</v>
      </c>
      <c r="G234" t="s">
        <v>1176</v>
      </c>
      <c r="H234" t="s">
        <v>1198</v>
      </c>
      <c r="I234" s="3" t="s">
        <v>1180</v>
      </c>
    </row>
    <row r="235" spans="1:9" x14ac:dyDescent="0.3">
      <c r="A235" t="s">
        <v>326</v>
      </c>
      <c r="C235" t="s">
        <v>837</v>
      </c>
      <c r="D235" s="42">
        <v>43430</v>
      </c>
      <c r="E235" t="s">
        <v>1163</v>
      </c>
      <c r="F235">
        <v>974.55</v>
      </c>
      <c r="G235" t="s">
        <v>1176</v>
      </c>
      <c r="H235" t="s">
        <v>1197</v>
      </c>
      <c r="I235" s="3" t="s">
        <v>1177</v>
      </c>
    </row>
    <row r="236" spans="1:9" x14ac:dyDescent="0.3">
      <c r="A236" t="s">
        <v>269</v>
      </c>
      <c r="B236" t="s">
        <v>333</v>
      </c>
      <c r="C236" t="s">
        <v>838</v>
      </c>
      <c r="D236" s="42">
        <v>45208</v>
      </c>
      <c r="G236" t="s">
        <v>1176</v>
      </c>
      <c r="I236" s="3" t="s">
        <v>1183</v>
      </c>
    </row>
    <row r="237" spans="1:9" x14ac:dyDescent="0.3">
      <c r="C237" t="s">
        <v>839</v>
      </c>
      <c r="D237" s="42">
        <v>44204</v>
      </c>
      <c r="E237" t="s">
        <v>1166</v>
      </c>
      <c r="F237">
        <v>1856.74</v>
      </c>
      <c r="G237" t="s">
        <v>1175</v>
      </c>
      <c r="H237" t="s">
        <v>1182</v>
      </c>
      <c r="I237" t="s">
        <v>1183</v>
      </c>
    </row>
    <row r="238" spans="1:9" x14ac:dyDescent="0.3">
      <c r="B238" t="s">
        <v>334</v>
      </c>
      <c r="C238" s="3" t="s">
        <v>840</v>
      </c>
      <c r="D238" s="42">
        <v>45147</v>
      </c>
      <c r="E238" t="s">
        <v>1155</v>
      </c>
      <c r="F238">
        <v>603.11</v>
      </c>
      <c r="G238" t="s">
        <v>1171</v>
      </c>
      <c r="H238" t="s">
        <v>1178</v>
      </c>
      <c r="I238" t="s">
        <v>1179</v>
      </c>
    </row>
    <row r="239" spans="1:9" x14ac:dyDescent="0.3">
      <c r="A239" t="s">
        <v>335</v>
      </c>
      <c r="B239" t="s">
        <v>336</v>
      </c>
      <c r="C239" s="3" t="s">
        <v>841</v>
      </c>
      <c r="D239" s="42">
        <v>42911</v>
      </c>
      <c r="E239" t="s">
        <v>1167</v>
      </c>
      <c r="F239">
        <v>230.73</v>
      </c>
      <c r="G239" t="s">
        <v>1171</v>
      </c>
      <c r="H239" t="s">
        <v>1184</v>
      </c>
      <c r="I239" t="s">
        <v>1180</v>
      </c>
    </row>
    <row r="240" spans="1:9" x14ac:dyDescent="0.3">
      <c r="A240" t="s">
        <v>337</v>
      </c>
      <c r="B240" t="s">
        <v>338</v>
      </c>
      <c r="C240" s="3" t="s">
        <v>842</v>
      </c>
      <c r="D240" s="42">
        <v>43068</v>
      </c>
      <c r="E240" s="3" t="s">
        <v>1162</v>
      </c>
      <c r="F240">
        <v>1642.44</v>
      </c>
      <c r="G240" t="s">
        <v>1172</v>
      </c>
      <c r="H240" t="s">
        <v>1186</v>
      </c>
    </row>
    <row r="241" spans="1:9" x14ac:dyDescent="0.3">
      <c r="A241" t="s">
        <v>339</v>
      </c>
      <c r="B241" t="s">
        <v>340</v>
      </c>
      <c r="C241" s="3" t="s">
        <v>843</v>
      </c>
      <c r="D241" s="42">
        <v>41884</v>
      </c>
      <c r="E241" s="3" t="s">
        <v>1162</v>
      </c>
      <c r="F241">
        <v>513.44000000000005</v>
      </c>
      <c r="H241" t="s">
        <v>1198</v>
      </c>
      <c r="I241" t="s">
        <v>1196</v>
      </c>
    </row>
    <row r="242" spans="1:9" x14ac:dyDescent="0.3">
      <c r="A242" t="s">
        <v>114</v>
      </c>
      <c r="B242" t="s">
        <v>341</v>
      </c>
      <c r="C242" t="s">
        <v>844</v>
      </c>
      <c r="D242" s="1">
        <v>41861</v>
      </c>
      <c r="E242" s="3" t="s">
        <v>1162</v>
      </c>
      <c r="F242">
        <v>275.77999999999997</v>
      </c>
      <c r="G242" t="s">
        <v>1174</v>
      </c>
      <c r="I242" t="s">
        <v>1177</v>
      </c>
    </row>
    <row r="243" spans="1:9" x14ac:dyDescent="0.3">
      <c r="A243" t="s">
        <v>249</v>
      </c>
      <c r="B243" t="s">
        <v>342</v>
      </c>
      <c r="C243" t="s">
        <v>845</v>
      </c>
      <c r="D243" s="1">
        <v>44388</v>
      </c>
      <c r="E243" s="3" t="s">
        <v>1170</v>
      </c>
      <c r="F243">
        <v>433.38</v>
      </c>
      <c r="G243" t="s">
        <v>1173</v>
      </c>
      <c r="H243" t="s">
        <v>1197</v>
      </c>
      <c r="I243" t="s">
        <v>1196</v>
      </c>
    </row>
    <row r="244" spans="1:9" x14ac:dyDescent="0.3">
      <c r="A244" t="s">
        <v>310</v>
      </c>
      <c r="B244" t="s">
        <v>343</v>
      </c>
      <c r="C244" t="s">
        <v>846</v>
      </c>
      <c r="D244" s="1">
        <v>44389</v>
      </c>
      <c r="E244" t="s">
        <v>1161</v>
      </c>
      <c r="H244" t="s">
        <v>1186</v>
      </c>
      <c r="I244" t="s">
        <v>1183</v>
      </c>
    </row>
    <row r="245" spans="1:9" x14ac:dyDescent="0.3">
      <c r="B245" t="s">
        <v>344</v>
      </c>
      <c r="C245" t="s">
        <v>847</v>
      </c>
      <c r="D245" s="1">
        <v>44390</v>
      </c>
      <c r="E245" t="s">
        <v>1166</v>
      </c>
      <c r="F245">
        <v>857.42</v>
      </c>
      <c r="H245" t="s">
        <v>1189</v>
      </c>
      <c r="I245" t="s">
        <v>1179</v>
      </c>
    </row>
    <row r="246" spans="1:9" x14ac:dyDescent="0.3">
      <c r="A246" t="s">
        <v>214</v>
      </c>
      <c r="B246" t="s">
        <v>296</v>
      </c>
      <c r="C246" s="4" t="s">
        <v>848</v>
      </c>
      <c r="D246" s="1">
        <v>45391</v>
      </c>
      <c r="E246" t="s">
        <v>1169</v>
      </c>
      <c r="F246">
        <v>785</v>
      </c>
      <c r="G246" t="s">
        <v>1175</v>
      </c>
      <c r="H246" t="s">
        <v>1192</v>
      </c>
      <c r="I246" t="s">
        <v>1179</v>
      </c>
    </row>
    <row r="247" spans="1:9" x14ac:dyDescent="0.3">
      <c r="A247" t="s">
        <v>345</v>
      </c>
      <c r="B247" t="s">
        <v>346</v>
      </c>
      <c r="C247" s="4" t="s">
        <v>849</v>
      </c>
      <c r="D247" s="1">
        <v>42810</v>
      </c>
      <c r="E247" t="s">
        <v>1169</v>
      </c>
      <c r="F247">
        <v>645.30999999999995</v>
      </c>
      <c r="G247" t="s">
        <v>1171</v>
      </c>
      <c r="H247" t="s">
        <v>1189</v>
      </c>
      <c r="I247" t="s">
        <v>1177</v>
      </c>
    </row>
    <row r="248" spans="1:9" x14ac:dyDescent="0.3">
      <c r="A248" t="s">
        <v>274</v>
      </c>
      <c r="B248" t="s">
        <v>347</v>
      </c>
      <c r="C248" t="s">
        <v>850</v>
      </c>
      <c r="D248" s="1">
        <v>43762</v>
      </c>
      <c r="E248" t="s">
        <v>1167</v>
      </c>
      <c r="F248">
        <v>1653.38</v>
      </c>
      <c r="G248" t="s">
        <v>1174</v>
      </c>
      <c r="H248" t="s">
        <v>1190</v>
      </c>
      <c r="I248" t="s">
        <v>1196</v>
      </c>
    </row>
    <row r="249" spans="1:9" x14ac:dyDescent="0.3">
      <c r="A249" t="s">
        <v>348</v>
      </c>
      <c r="B249" t="s">
        <v>321</v>
      </c>
      <c r="C249" t="s">
        <v>851</v>
      </c>
      <c r="D249" s="1">
        <v>42765</v>
      </c>
      <c r="G249" t="s">
        <v>1176</v>
      </c>
      <c r="H249" t="s">
        <v>1184</v>
      </c>
      <c r="I249" t="s">
        <v>1179</v>
      </c>
    </row>
    <row r="250" spans="1:9" x14ac:dyDescent="0.3">
      <c r="A250" t="s">
        <v>349</v>
      </c>
      <c r="C250" t="s">
        <v>852</v>
      </c>
      <c r="E250" t="s">
        <v>1165</v>
      </c>
      <c r="F250">
        <v>635.61</v>
      </c>
      <c r="G250" t="s">
        <v>1174</v>
      </c>
      <c r="H250" t="s">
        <v>1194</v>
      </c>
      <c r="I250" t="s">
        <v>1180</v>
      </c>
    </row>
    <row r="251" spans="1:9" x14ac:dyDescent="0.3">
      <c r="A251" t="s">
        <v>350</v>
      </c>
      <c r="B251" t="s">
        <v>351</v>
      </c>
      <c r="C251" t="s">
        <v>853</v>
      </c>
      <c r="D251" s="1">
        <v>44462</v>
      </c>
      <c r="E251" t="s">
        <v>1156</v>
      </c>
      <c r="F251">
        <v>1710.45</v>
      </c>
      <c r="G251" t="s">
        <v>1176</v>
      </c>
      <c r="H251" t="s">
        <v>1182</v>
      </c>
      <c r="I251" t="s">
        <v>1196</v>
      </c>
    </row>
    <row r="252" spans="1:9" x14ac:dyDescent="0.3">
      <c r="A252" t="s">
        <v>352</v>
      </c>
      <c r="B252" t="s">
        <v>353</v>
      </c>
      <c r="C252" t="s">
        <v>854</v>
      </c>
      <c r="D252" s="1">
        <v>42921</v>
      </c>
      <c r="E252" t="s">
        <v>1157</v>
      </c>
      <c r="F252">
        <v>1553.23</v>
      </c>
      <c r="G252" t="s">
        <v>1173</v>
      </c>
      <c r="H252" t="s">
        <v>1181</v>
      </c>
      <c r="I252" s="4" t="s">
        <v>1179</v>
      </c>
    </row>
    <row r="253" spans="1:9" x14ac:dyDescent="0.3">
      <c r="B253" t="s">
        <v>354</v>
      </c>
      <c r="C253" t="s">
        <v>855</v>
      </c>
      <c r="D253" s="1">
        <v>42922</v>
      </c>
      <c r="E253" t="s">
        <v>1160</v>
      </c>
      <c r="F253">
        <v>138.47</v>
      </c>
      <c r="I253" s="4" t="s">
        <v>1177</v>
      </c>
    </row>
    <row r="254" spans="1:9" x14ac:dyDescent="0.3">
      <c r="A254" t="s">
        <v>355</v>
      </c>
      <c r="B254" t="s">
        <v>356</v>
      </c>
      <c r="C254" t="s">
        <v>856</v>
      </c>
      <c r="E254" t="s">
        <v>1156</v>
      </c>
      <c r="F254">
        <v>391.31</v>
      </c>
      <c r="G254" t="s">
        <v>1172</v>
      </c>
      <c r="I254" s="4" t="s">
        <v>1196</v>
      </c>
    </row>
    <row r="255" spans="1:9" x14ac:dyDescent="0.3">
      <c r="A255" t="s">
        <v>357</v>
      </c>
      <c r="B255" t="s">
        <v>358</v>
      </c>
      <c r="C255" t="s">
        <v>857</v>
      </c>
      <c r="D255" s="1">
        <v>41889</v>
      </c>
      <c r="E255" t="s">
        <v>1155</v>
      </c>
      <c r="F255">
        <v>668.37</v>
      </c>
      <c r="G255" t="s">
        <v>1171</v>
      </c>
      <c r="H255" t="s">
        <v>1181</v>
      </c>
      <c r="I255" s="4" t="s">
        <v>1196</v>
      </c>
    </row>
    <row r="256" spans="1:9" x14ac:dyDescent="0.3">
      <c r="B256" t="s">
        <v>359</v>
      </c>
      <c r="C256" s="3" t="s">
        <v>858</v>
      </c>
      <c r="D256" s="42">
        <v>44822</v>
      </c>
      <c r="E256" t="s">
        <v>1165</v>
      </c>
      <c r="F256">
        <v>1231.6500000000001</v>
      </c>
      <c r="G256" t="s">
        <v>1172</v>
      </c>
      <c r="H256" t="s">
        <v>1182</v>
      </c>
      <c r="I256" s="4" t="s">
        <v>1177</v>
      </c>
    </row>
    <row r="257" spans="1:9" x14ac:dyDescent="0.3">
      <c r="A257" t="s">
        <v>360</v>
      </c>
      <c r="B257" t="s">
        <v>361</v>
      </c>
      <c r="C257" s="3" t="s">
        <v>859</v>
      </c>
      <c r="D257" s="42">
        <v>42393</v>
      </c>
      <c r="E257" t="s">
        <v>1167</v>
      </c>
      <c r="F257">
        <v>1923.17</v>
      </c>
      <c r="G257" t="s">
        <v>1172</v>
      </c>
      <c r="H257" t="s">
        <v>1186</v>
      </c>
      <c r="I257" s="4" t="s">
        <v>1179</v>
      </c>
    </row>
    <row r="258" spans="1:9" x14ac:dyDescent="0.3">
      <c r="A258" t="s">
        <v>362</v>
      </c>
      <c r="B258" t="s">
        <v>363</v>
      </c>
      <c r="C258" s="3" t="s">
        <v>860</v>
      </c>
      <c r="D258" s="42">
        <v>44228</v>
      </c>
      <c r="E258" t="s">
        <v>1161</v>
      </c>
      <c r="F258">
        <v>1092.94</v>
      </c>
      <c r="G258" t="s">
        <v>1176</v>
      </c>
      <c r="H258" t="s">
        <v>1195</v>
      </c>
      <c r="I258" s="4" t="s">
        <v>1179</v>
      </c>
    </row>
    <row r="259" spans="1:9" x14ac:dyDescent="0.3">
      <c r="A259" t="s">
        <v>104</v>
      </c>
      <c r="B259" t="s">
        <v>364</v>
      </c>
      <c r="C259" s="3" t="s">
        <v>861</v>
      </c>
      <c r="D259" s="42">
        <v>42183</v>
      </c>
      <c r="F259">
        <v>683.14</v>
      </c>
      <c r="H259" t="s">
        <v>1193</v>
      </c>
      <c r="I259" s="4" t="s">
        <v>1196</v>
      </c>
    </row>
    <row r="260" spans="1:9" x14ac:dyDescent="0.3">
      <c r="A260" t="s">
        <v>28</v>
      </c>
      <c r="B260" s="4" t="s">
        <v>365</v>
      </c>
      <c r="C260" s="3" t="s">
        <v>862</v>
      </c>
      <c r="D260" s="42">
        <v>45332</v>
      </c>
      <c r="E260" t="s">
        <v>1154</v>
      </c>
      <c r="F260">
        <v>995.28</v>
      </c>
      <c r="G260" t="s">
        <v>1172</v>
      </c>
      <c r="H260" t="s">
        <v>1202</v>
      </c>
      <c r="I260" t="s">
        <v>1183</v>
      </c>
    </row>
    <row r="261" spans="1:9" x14ac:dyDescent="0.3">
      <c r="A261" t="s">
        <v>38</v>
      </c>
      <c r="B261" s="4" t="s">
        <v>366</v>
      </c>
      <c r="C261" t="s">
        <v>863</v>
      </c>
      <c r="D261" s="42">
        <v>42189</v>
      </c>
      <c r="E261" t="s">
        <v>1156</v>
      </c>
      <c r="F261">
        <v>347.05</v>
      </c>
      <c r="G261" t="s">
        <v>1172</v>
      </c>
      <c r="H261" t="s">
        <v>1188</v>
      </c>
      <c r="I261" t="s">
        <v>1183</v>
      </c>
    </row>
    <row r="262" spans="1:9" x14ac:dyDescent="0.3">
      <c r="A262" t="s">
        <v>367</v>
      </c>
      <c r="B262" s="4" t="s">
        <v>131</v>
      </c>
      <c r="C262" t="s">
        <v>864</v>
      </c>
      <c r="D262" s="1">
        <v>42190</v>
      </c>
      <c r="E262" t="s">
        <v>1156</v>
      </c>
      <c r="F262">
        <v>1201.47</v>
      </c>
      <c r="G262" t="s">
        <v>1174</v>
      </c>
      <c r="H262" t="s">
        <v>1178</v>
      </c>
      <c r="I262" t="s">
        <v>1177</v>
      </c>
    </row>
    <row r="263" spans="1:9" x14ac:dyDescent="0.3">
      <c r="A263" t="s">
        <v>125</v>
      </c>
      <c r="B263" s="4" t="s">
        <v>368</v>
      </c>
      <c r="C263" t="s">
        <v>865</v>
      </c>
      <c r="D263" s="1">
        <v>42191</v>
      </c>
      <c r="F263">
        <v>1232.48</v>
      </c>
      <c r="G263" t="s">
        <v>1173</v>
      </c>
      <c r="H263" t="s">
        <v>1199</v>
      </c>
      <c r="I263" t="s">
        <v>1196</v>
      </c>
    </row>
    <row r="264" spans="1:9" x14ac:dyDescent="0.3">
      <c r="A264" t="s">
        <v>369</v>
      </c>
      <c r="B264" s="4" t="s">
        <v>370</v>
      </c>
      <c r="C264" t="s">
        <v>866</v>
      </c>
      <c r="D264" s="1">
        <v>42188</v>
      </c>
      <c r="F264">
        <v>801.32</v>
      </c>
      <c r="G264" t="s">
        <v>1171</v>
      </c>
      <c r="H264" t="s">
        <v>1181</v>
      </c>
      <c r="I264" t="s">
        <v>1179</v>
      </c>
    </row>
    <row r="265" spans="1:9" x14ac:dyDescent="0.3">
      <c r="A265" t="s">
        <v>234</v>
      </c>
      <c r="B265" s="4" t="s">
        <v>84</v>
      </c>
      <c r="C265" t="s">
        <v>867</v>
      </c>
      <c r="E265" t="s">
        <v>1151</v>
      </c>
      <c r="F265">
        <v>1771.57</v>
      </c>
      <c r="G265" t="s">
        <v>1175</v>
      </c>
      <c r="H265" t="s">
        <v>1194</v>
      </c>
      <c r="I265" t="s">
        <v>1179</v>
      </c>
    </row>
    <row r="266" spans="1:9" x14ac:dyDescent="0.3">
      <c r="A266" t="s">
        <v>121</v>
      </c>
      <c r="B266" s="4" t="s">
        <v>82</v>
      </c>
      <c r="C266" t="s">
        <v>868</v>
      </c>
      <c r="D266" s="1">
        <v>42190</v>
      </c>
      <c r="E266" t="s">
        <v>1155</v>
      </c>
      <c r="F266">
        <v>1066.98</v>
      </c>
      <c r="G266" t="s">
        <v>1174</v>
      </c>
      <c r="H266" t="s">
        <v>1200</v>
      </c>
      <c r="I266" t="s">
        <v>1183</v>
      </c>
    </row>
    <row r="267" spans="1:9" x14ac:dyDescent="0.3">
      <c r="A267" t="s">
        <v>3</v>
      </c>
      <c r="B267" t="s">
        <v>371</v>
      </c>
      <c r="C267" t="s">
        <v>869</v>
      </c>
      <c r="E267" t="s">
        <v>1169</v>
      </c>
      <c r="F267">
        <v>1846.78</v>
      </c>
      <c r="G267" t="s">
        <v>1172</v>
      </c>
      <c r="H267" t="s">
        <v>1199</v>
      </c>
      <c r="I267" t="s">
        <v>1183</v>
      </c>
    </row>
    <row r="268" spans="1:9" x14ac:dyDescent="0.3">
      <c r="A268" t="s">
        <v>372</v>
      </c>
      <c r="B268" t="s">
        <v>373</v>
      </c>
      <c r="C268" s="3" t="s">
        <v>870</v>
      </c>
      <c r="D268" s="1">
        <v>43503</v>
      </c>
      <c r="E268" t="s">
        <v>1165</v>
      </c>
      <c r="F268">
        <v>1928.75</v>
      </c>
      <c r="G268" s="6" t="s">
        <v>1173</v>
      </c>
      <c r="H268" t="s">
        <v>1192</v>
      </c>
      <c r="I268" t="s">
        <v>1179</v>
      </c>
    </row>
    <row r="269" spans="1:9" x14ac:dyDescent="0.3">
      <c r="A269" t="s">
        <v>362</v>
      </c>
      <c r="B269" t="s">
        <v>374</v>
      </c>
      <c r="C269" s="3" t="s">
        <v>871</v>
      </c>
      <c r="D269" s="1">
        <v>44222</v>
      </c>
      <c r="E269" t="s">
        <v>1157</v>
      </c>
      <c r="F269">
        <v>1658.7</v>
      </c>
      <c r="G269" s="6" t="s">
        <v>1174</v>
      </c>
      <c r="H269" t="s">
        <v>1188</v>
      </c>
      <c r="I269" t="s">
        <v>1179</v>
      </c>
    </row>
    <row r="270" spans="1:9" x14ac:dyDescent="0.3">
      <c r="A270" t="s">
        <v>6</v>
      </c>
      <c r="B270" t="s">
        <v>21</v>
      </c>
      <c r="C270" s="3" t="s">
        <v>872</v>
      </c>
      <c r="D270" s="1">
        <v>42492</v>
      </c>
      <c r="E270" t="s">
        <v>1156</v>
      </c>
      <c r="G270" s="6" t="s">
        <v>1172</v>
      </c>
      <c r="H270" t="s">
        <v>1184</v>
      </c>
      <c r="I270" t="s">
        <v>1183</v>
      </c>
    </row>
    <row r="271" spans="1:9" x14ac:dyDescent="0.3">
      <c r="A271" t="s">
        <v>375</v>
      </c>
      <c r="B271" t="s">
        <v>376</v>
      </c>
      <c r="C271" s="3" t="s">
        <v>873</v>
      </c>
      <c r="D271" s="1">
        <v>45157</v>
      </c>
      <c r="E271" t="s">
        <v>1155</v>
      </c>
      <c r="G271" s="6" t="s">
        <v>1176</v>
      </c>
      <c r="H271" t="s">
        <v>1188</v>
      </c>
      <c r="I271" s="7" t="s">
        <v>1196</v>
      </c>
    </row>
    <row r="272" spans="1:9" x14ac:dyDescent="0.3">
      <c r="A272" t="s">
        <v>377</v>
      </c>
      <c r="B272" t="s">
        <v>378</v>
      </c>
      <c r="C272" t="s">
        <v>874</v>
      </c>
      <c r="D272" s="1">
        <v>44495</v>
      </c>
      <c r="E272" t="s">
        <v>1158</v>
      </c>
      <c r="G272" s="6" t="s">
        <v>1173</v>
      </c>
      <c r="H272" t="s">
        <v>1198</v>
      </c>
      <c r="I272" s="7" t="s">
        <v>1185</v>
      </c>
    </row>
    <row r="273" spans="1:9" x14ac:dyDescent="0.3">
      <c r="A273" t="s">
        <v>348</v>
      </c>
      <c r="C273" t="s">
        <v>875</v>
      </c>
      <c r="D273" s="1">
        <v>43197</v>
      </c>
      <c r="F273">
        <v>1695.01</v>
      </c>
      <c r="G273" s="6" t="s">
        <v>1173</v>
      </c>
      <c r="H273" t="s">
        <v>1199</v>
      </c>
      <c r="I273" s="7" t="s">
        <v>1183</v>
      </c>
    </row>
    <row r="274" spans="1:9" x14ac:dyDescent="0.3">
      <c r="A274" t="s">
        <v>379</v>
      </c>
      <c r="C274" t="s">
        <v>876</v>
      </c>
      <c r="D274" s="1">
        <v>43145</v>
      </c>
      <c r="E274" t="s">
        <v>1154</v>
      </c>
      <c r="F274">
        <v>1417.22</v>
      </c>
      <c r="G274" t="s">
        <v>1171</v>
      </c>
      <c r="H274" t="s">
        <v>1193</v>
      </c>
      <c r="I274" s="7" t="s">
        <v>1196</v>
      </c>
    </row>
    <row r="275" spans="1:9" x14ac:dyDescent="0.3">
      <c r="A275" t="s">
        <v>36</v>
      </c>
      <c r="B275" t="s">
        <v>19</v>
      </c>
      <c r="C275" t="s">
        <v>877</v>
      </c>
      <c r="E275" t="s">
        <v>1163</v>
      </c>
      <c r="F275">
        <v>863.18</v>
      </c>
      <c r="G275" t="s">
        <v>1171</v>
      </c>
      <c r="H275" t="s">
        <v>1201</v>
      </c>
      <c r="I275" s="7" t="s">
        <v>1196</v>
      </c>
    </row>
    <row r="276" spans="1:9" x14ac:dyDescent="0.3">
      <c r="A276" t="s">
        <v>213</v>
      </c>
      <c r="B276" t="s">
        <v>380</v>
      </c>
      <c r="C276" s="4" t="s">
        <v>878</v>
      </c>
      <c r="D276" s="1">
        <v>42071</v>
      </c>
      <c r="E276" t="s">
        <v>1163</v>
      </c>
      <c r="F276">
        <v>130.07</v>
      </c>
      <c r="G276" t="s">
        <v>1173</v>
      </c>
      <c r="H276" t="s">
        <v>1190</v>
      </c>
      <c r="I276" s="7" t="s">
        <v>1179</v>
      </c>
    </row>
    <row r="277" spans="1:9" x14ac:dyDescent="0.3">
      <c r="A277" t="s">
        <v>381</v>
      </c>
      <c r="C277" s="4" t="s">
        <v>879</v>
      </c>
      <c r="D277" s="1">
        <v>44178</v>
      </c>
      <c r="E277" t="s">
        <v>1161</v>
      </c>
      <c r="F277">
        <v>1315.94</v>
      </c>
      <c r="G277" t="s">
        <v>1174</v>
      </c>
      <c r="H277" t="s">
        <v>1189</v>
      </c>
      <c r="I277" s="7" t="s">
        <v>1177</v>
      </c>
    </row>
    <row r="278" spans="1:9" x14ac:dyDescent="0.3">
      <c r="A278" t="s">
        <v>382</v>
      </c>
      <c r="B278" t="s">
        <v>383</v>
      </c>
      <c r="C278" s="4" t="s">
        <v>880</v>
      </c>
      <c r="D278" s="1">
        <v>45367</v>
      </c>
      <c r="E278" t="s">
        <v>1154</v>
      </c>
      <c r="F278">
        <v>1800.2</v>
      </c>
      <c r="G278" t="s">
        <v>1171</v>
      </c>
      <c r="H278" t="s">
        <v>1198</v>
      </c>
      <c r="I278" s="7" t="s">
        <v>1183</v>
      </c>
    </row>
    <row r="279" spans="1:9" x14ac:dyDescent="0.3">
      <c r="A279" t="s">
        <v>384</v>
      </c>
      <c r="C279" s="4" t="s">
        <v>881</v>
      </c>
      <c r="D279" s="1">
        <v>44015</v>
      </c>
      <c r="F279">
        <v>847.11</v>
      </c>
      <c r="G279" t="s">
        <v>1174</v>
      </c>
      <c r="H279" t="s">
        <v>1200</v>
      </c>
      <c r="I279" s="7" t="s">
        <v>1185</v>
      </c>
    </row>
    <row r="280" spans="1:9" x14ac:dyDescent="0.3">
      <c r="A280" t="s">
        <v>154</v>
      </c>
      <c r="B280" t="s">
        <v>385</v>
      </c>
      <c r="C280" s="4" t="s">
        <v>882</v>
      </c>
      <c r="D280" s="1">
        <v>43493</v>
      </c>
      <c r="E280" t="s">
        <v>1158</v>
      </c>
      <c r="F280">
        <v>1102.92</v>
      </c>
      <c r="G280" t="s">
        <v>1174</v>
      </c>
      <c r="H280" t="s">
        <v>1182</v>
      </c>
      <c r="I280" s="7"/>
    </row>
    <row r="281" spans="1:9" x14ac:dyDescent="0.3">
      <c r="A281" t="s">
        <v>386</v>
      </c>
      <c r="B281" t="s">
        <v>387</v>
      </c>
      <c r="C281" t="s">
        <v>883</v>
      </c>
      <c r="D281" s="1">
        <v>43362</v>
      </c>
      <c r="E281" t="s">
        <v>1155</v>
      </c>
      <c r="F281">
        <v>687.71</v>
      </c>
      <c r="G281" t="s">
        <v>1176</v>
      </c>
      <c r="H281" t="s">
        <v>1192</v>
      </c>
      <c r="I281" s="7" t="s">
        <v>1183</v>
      </c>
    </row>
    <row r="282" spans="1:9" x14ac:dyDescent="0.3">
      <c r="A282" t="s">
        <v>388</v>
      </c>
      <c r="B282" t="s">
        <v>389</v>
      </c>
      <c r="C282" t="s">
        <v>884</v>
      </c>
      <c r="D282" s="1">
        <v>43089</v>
      </c>
      <c r="E282" t="s">
        <v>1160</v>
      </c>
      <c r="F282">
        <v>1918.59</v>
      </c>
      <c r="G282" t="s">
        <v>1176</v>
      </c>
      <c r="H282" t="s">
        <v>1197</v>
      </c>
      <c r="I282" s="7" t="s">
        <v>1196</v>
      </c>
    </row>
    <row r="283" spans="1:9" x14ac:dyDescent="0.3">
      <c r="B283" t="s">
        <v>390</v>
      </c>
      <c r="C283" t="s">
        <v>885</v>
      </c>
      <c r="D283" s="1">
        <v>45381</v>
      </c>
      <c r="E283" t="s">
        <v>1162</v>
      </c>
      <c r="F283">
        <v>1003.33</v>
      </c>
      <c r="G283" t="s">
        <v>1172</v>
      </c>
      <c r="H283" t="s">
        <v>1184</v>
      </c>
      <c r="I283" s="7" t="s">
        <v>1177</v>
      </c>
    </row>
    <row r="284" spans="1:9" x14ac:dyDescent="0.3">
      <c r="A284" t="s">
        <v>391</v>
      </c>
      <c r="B284" t="s">
        <v>392</v>
      </c>
      <c r="C284" t="s">
        <v>886</v>
      </c>
      <c r="D284" s="1">
        <v>43471</v>
      </c>
      <c r="E284" t="s">
        <v>1162</v>
      </c>
      <c r="F284">
        <v>141.36000000000001</v>
      </c>
      <c r="H284" t="s">
        <v>1187</v>
      </c>
      <c r="I284" s="7" t="s">
        <v>1196</v>
      </c>
    </row>
    <row r="285" spans="1:9" x14ac:dyDescent="0.3">
      <c r="B285" t="s">
        <v>393</v>
      </c>
      <c r="C285" t="s">
        <v>887</v>
      </c>
      <c r="D285" s="1">
        <v>44467</v>
      </c>
      <c r="E285" t="s">
        <v>1163</v>
      </c>
      <c r="F285">
        <v>660.42</v>
      </c>
      <c r="G285" s="7" t="s">
        <v>1174</v>
      </c>
      <c r="H285" t="s">
        <v>1182</v>
      </c>
      <c r="I285" s="7" t="s">
        <v>1183</v>
      </c>
    </row>
    <row r="286" spans="1:9" x14ac:dyDescent="0.3">
      <c r="A286" t="s">
        <v>369</v>
      </c>
      <c r="B286" t="s">
        <v>394</v>
      </c>
      <c r="C286" t="s">
        <v>888</v>
      </c>
      <c r="D286" s="1">
        <v>44468</v>
      </c>
      <c r="E286" t="s">
        <v>1156</v>
      </c>
      <c r="F286">
        <v>946.52</v>
      </c>
      <c r="G286" s="7" t="s">
        <v>1176</v>
      </c>
      <c r="H286" t="s">
        <v>1187</v>
      </c>
      <c r="I286" t="s">
        <v>1183</v>
      </c>
    </row>
    <row r="287" spans="1:9" x14ac:dyDescent="0.3">
      <c r="B287" t="s">
        <v>395</v>
      </c>
      <c r="C287" t="s">
        <v>889</v>
      </c>
      <c r="D287" s="1">
        <v>43789</v>
      </c>
      <c r="E287" t="s">
        <v>1155</v>
      </c>
      <c r="G287" s="7" t="s">
        <v>1173</v>
      </c>
      <c r="H287" t="s">
        <v>1194</v>
      </c>
    </row>
    <row r="288" spans="1:9" x14ac:dyDescent="0.3">
      <c r="A288" t="s">
        <v>396</v>
      </c>
      <c r="B288" t="s">
        <v>244</v>
      </c>
      <c r="C288" s="6" t="s">
        <v>890</v>
      </c>
      <c r="D288" s="1">
        <v>43088</v>
      </c>
      <c r="E288" t="s">
        <v>1168</v>
      </c>
      <c r="F288">
        <v>674.37</v>
      </c>
      <c r="G288" s="7" t="s">
        <v>1174</v>
      </c>
      <c r="H288" t="s">
        <v>1198</v>
      </c>
      <c r="I288" t="s">
        <v>1196</v>
      </c>
    </row>
    <row r="289" spans="1:9" x14ac:dyDescent="0.3">
      <c r="B289" t="s">
        <v>397</v>
      </c>
      <c r="C289" s="6" t="s">
        <v>891</v>
      </c>
      <c r="D289" s="1">
        <v>42343</v>
      </c>
      <c r="E289" t="s">
        <v>1158</v>
      </c>
      <c r="F289">
        <v>775.02</v>
      </c>
      <c r="G289" s="7" t="s">
        <v>1176</v>
      </c>
      <c r="H289" t="s">
        <v>1199</v>
      </c>
      <c r="I289" t="s">
        <v>1196</v>
      </c>
    </row>
    <row r="290" spans="1:9" x14ac:dyDescent="0.3">
      <c r="A290" t="s">
        <v>398</v>
      </c>
      <c r="B290" t="s">
        <v>399</v>
      </c>
      <c r="C290" s="6" t="s">
        <v>892</v>
      </c>
      <c r="D290" s="1">
        <v>44042</v>
      </c>
      <c r="F290">
        <v>96.67</v>
      </c>
      <c r="G290" s="7" t="s">
        <v>1171</v>
      </c>
      <c r="H290" t="s">
        <v>1194</v>
      </c>
      <c r="I290" t="s">
        <v>1177</v>
      </c>
    </row>
    <row r="291" spans="1:9" x14ac:dyDescent="0.3">
      <c r="A291" t="s">
        <v>400</v>
      </c>
      <c r="B291" t="s">
        <v>401</v>
      </c>
      <c r="C291" s="6" t="s">
        <v>893</v>
      </c>
      <c r="D291" s="1">
        <v>45121</v>
      </c>
      <c r="E291" t="s">
        <v>1162</v>
      </c>
      <c r="F291">
        <v>1556.42</v>
      </c>
      <c r="G291" s="7" t="s">
        <v>1171</v>
      </c>
      <c r="H291" t="s">
        <v>1182</v>
      </c>
      <c r="I291" t="s">
        <v>1183</v>
      </c>
    </row>
    <row r="292" spans="1:9" x14ac:dyDescent="0.3">
      <c r="A292" t="s">
        <v>402</v>
      </c>
      <c r="B292" t="s">
        <v>403</v>
      </c>
      <c r="C292" s="6" t="s">
        <v>894</v>
      </c>
      <c r="D292" s="1">
        <v>43009</v>
      </c>
      <c r="E292" t="s">
        <v>1170</v>
      </c>
      <c r="F292">
        <v>221.56</v>
      </c>
      <c r="G292" s="7" t="s">
        <v>1173</v>
      </c>
      <c r="H292" t="s">
        <v>1189</v>
      </c>
      <c r="I292" t="s">
        <v>1196</v>
      </c>
    </row>
    <row r="293" spans="1:9" x14ac:dyDescent="0.3">
      <c r="A293" t="s">
        <v>404</v>
      </c>
      <c r="B293" t="s">
        <v>23</v>
      </c>
      <c r="C293" s="6" t="s">
        <v>895</v>
      </c>
      <c r="D293" s="1">
        <v>45293</v>
      </c>
      <c r="F293">
        <v>856.14</v>
      </c>
      <c r="G293" s="7" t="s">
        <v>1171</v>
      </c>
      <c r="H293" t="s">
        <v>1191</v>
      </c>
      <c r="I293" t="s">
        <v>1183</v>
      </c>
    </row>
    <row r="294" spans="1:9" x14ac:dyDescent="0.3">
      <c r="A294" t="s">
        <v>405</v>
      </c>
      <c r="B294" t="s">
        <v>406</v>
      </c>
      <c r="C294" t="s">
        <v>896</v>
      </c>
      <c r="D294" s="1">
        <v>43395</v>
      </c>
      <c r="E294" t="s">
        <v>1156</v>
      </c>
      <c r="F294">
        <v>1663.19</v>
      </c>
      <c r="G294" s="7" t="s">
        <v>1174</v>
      </c>
      <c r="H294" t="s">
        <v>1194</v>
      </c>
      <c r="I294" t="s">
        <v>1183</v>
      </c>
    </row>
    <row r="295" spans="1:9" x14ac:dyDescent="0.3">
      <c r="A295" t="s">
        <v>281</v>
      </c>
      <c r="B295" t="s">
        <v>407</v>
      </c>
      <c r="C295" t="s">
        <v>897</v>
      </c>
      <c r="D295" s="1">
        <v>43036</v>
      </c>
      <c r="E295" t="s">
        <v>1168</v>
      </c>
      <c r="G295" s="7" t="s">
        <v>1173</v>
      </c>
      <c r="H295" t="s">
        <v>1192</v>
      </c>
      <c r="I295" t="s">
        <v>1196</v>
      </c>
    </row>
    <row r="296" spans="1:9" x14ac:dyDescent="0.3">
      <c r="A296" t="s">
        <v>251</v>
      </c>
      <c r="B296" t="s">
        <v>408</v>
      </c>
      <c r="C296" t="s">
        <v>898</v>
      </c>
      <c r="D296" s="1">
        <v>45408</v>
      </c>
      <c r="E296" t="s">
        <v>1168</v>
      </c>
      <c r="F296">
        <v>1031.0999999999999</v>
      </c>
      <c r="G296" s="7" t="s">
        <v>1171</v>
      </c>
      <c r="H296" t="s">
        <v>1184</v>
      </c>
      <c r="I296" t="s">
        <v>1196</v>
      </c>
    </row>
    <row r="297" spans="1:9" x14ac:dyDescent="0.3">
      <c r="A297" t="s">
        <v>57</v>
      </c>
      <c r="B297" t="s">
        <v>409</v>
      </c>
      <c r="C297" t="s">
        <v>899</v>
      </c>
      <c r="D297" s="1">
        <v>45409</v>
      </c>
      <c r="E297" t="s">
        <v>1166</v>
      </c>
      <c r="F297">
        <v>1789.13</v>
      </c>
      <c r="G297" s="7" t="s">
        <v>1176</v>
      </c>
      <c r="H297" t="s">
        <v>1181</v>
      </c>
    </row>
    <row r="298" spans="1:9" x14ac:dyDescent="0.3">
      <c r="A298" t="s">
        <v>142</v>
      </c>
      <c r="B298" t="s">
        <v>410</v>
      </c>
      <c r="C298" t="s">
        <v>900</v>
      </c>
      <c r="D298" s="1">
        <v>44505</v>
      </c>
      <c r="E298" t="s">
        <v>1158</v>
      </c>
      <c r="F298">
        <v>120.32</v>
      </c>
      <c r="G298" t="s">
        <v>1175</v>
      </c>
      <c r="H298" t="s">
        <v>1184</v>
      </c>
      <c r="I298" t="s">
        <v>1177</v>
      </c>
    </row>
    <row r="299" spans="1:9" x14ac:dyDescent="0.3">
      <c r="A299" t="s">
        <v>126</v>
      </c>
      <c r="B299" t="s">
        <v>411</v>
      </c>
      <c r="C299" t="s">
        <v>901</v>
      </c>
      <c r="D299" s="1">
        <v>43758</v>
      </c>
      <c r="E299" t="s">
        <v>1159</v>
      </c>
      <c r="F299">
        <v>92.42</v>
      </c>
      <c r="G299" t="s">
        <v>1173</v>
      </c>
      <c r="I299" t="s">
        <v>1180</v>
      </c>
    </row>
    <row r="300" spans="1:9" x14ac:dyDescent="0.3">
      <c r="A300" t="s">
        <v>412</v>
      </c>
      <c r="B300" t="s">
        <v>413</v>
      </c>
      <c r="C300" t="s">
        <v>902</v>
      </c>
      <c r="D300" s="1">
        <v>41917</v>
      </c>
      <c r="E300" t="s">
        <v>1164</v>
      </c>
      <c r="F300">
        <v>510.37</v>
      </c>
      <c r="G300" t="s">
        <v>1175</v>
      </c>
      <c r="H300" t="s">
        <v>1178</v>
      </c>
      <c r="I300" t="s">
        <v>1180</v>
      </c>
    </row>
    <row r="301" spans="1:9" x14ac:dyDescent="0.3">
      <c r="A301" t="s">
        <v>414</v>
      </c>
      <c r="C301" t="s">
        <v>903</v>
      </c>
      <c r="E301" t="s">
        <v>1153</v>
      </c>
      <c r="F301">
        <v>1826.54</v>
      </c>
      <c r="G301" t="s">
        <v>1175</v>
      </c>
      <c r="H301" t="s">
        <v>1200</v>
      </c>
      <c r="I301" t="s">
        <v>1179</v>
      </c>
    </row>
    <row r="302" spans="1:9" x14ac:dyDescent="0.3">
      <c r="A302" t="s">
        <v>360</v>
      </c>
      <c r="B302" t="s">
        <v>415</v>
      </c>
      <c r="C302" t="s">
        <v>904</v>
      </c>
      <c r="D302" s="1">
        <v>44558</v>
      </c>
      <c r="E302" t="s">
        <v>1153</v>
      </c>
      <c r="F302">
        <v>493.04</v>
      </c>
      <c r="G302" t="s">
        <v>1175</v>
      </c>
      <c r="H302" t="s">
        <v>1200</v>
      </c>
      <c r="I302" t="s">
        <v>1180</v>
      </c>
    </row>
    <row r="303" spans="1:9" x14ac:dyDescent="0.3">
      <c r="A303" t="s">
        <v>416</v>
      </c>
      <c r="B303" t="s">
        <v>417</v>
      </c>
      <c r="C303" s="7" t="s">
        <v>905</v>
      </c>
      <c r="D303" s="1">
        <v>44847</v>
      </c>
      <c r="E303" t="s">
        <v>1162</v>
      </c>
      <c r="F303">
        <v>1900.69</v>
      </c>
      <c r="G303" t="s">
        <v>1172</v>
      </c>
      <c r="H303" t="s">
        <v>1182</v>
      </c>
      <c r="I303" t="s">
        <v>1196</v>
      </c>
    </row>
    <row r="304" spans="1:9" x14ac:dyDescent="0.3">
      <c r="A304" t="s">
        <v>355</v>
      </c>
      <c r="B304" t="s">
        <v>93</v>
      </c>
      <c r="C304" s="7" t="s">
        <v>906</v>
      </c>
      <c r="D304" s="1">
        <v>43537</v>
      </c>
      <c r="E304" t="s">
        <v>1168</v>
      </c>
      <c r="F304">
        <v>508.65</v>
      </c>
      <c r="G304" t="s">
        <v>1171</v>
      </c>
      <c r="H304" t="s">
        <v>1201</v>
      </c>
      <c r="I304" t="s">
        <v>1177</v>
      </c>
    </row>
    <row r="305" spans="1:9" x14ac:dyDescent="0.3">
      <c r="A305" t="s">
        <v>418</v>
      </c>
      <c r="B305" t="s">
        <v>419</v>
      </c>
      <c r="C305" s="7" t="s">
        <v>907</v>
      </c>
      <c r="D305" s="1">
        <v>45399</v>
      </c>
      <c r="E305" t="s">
        <v>1167</v>
      </c>
      <c r="F305">
        <v>1792.53</v>
      </c>
      <c r="G305" t="s">
        <v>1175</v>
      </c>
      <c r="H305" t="s">
        <v>1201</v>
      </c>
      <c r="I305" t="s">
        <v>1179</v>
      </c>
    </row>
    <row r="306" spans="1:9" x14ac:dyDescent="0.3">
      <c r="A306" t="s">
        <v>2</v>
      </c>
      <c r="B306" t="s">
        <v>420</v>
      </c>
      <c r="C306" s="7" t="s">
        <v>908</v>
      </c>
      <c r="D306" s="1">
        <v>42517</v>
      </c>
      <c r="E306" t="s">
        <v>1156</v>
      </c>
      <c r="F306">
        <v>1669.43</v>
      </c>
      <c r="G306" t="s">
        <v>1176</v>
      </c>
      <c r="I306" t="s">
        <v>1179</v>
      </c>
    </row>
    <row r="307" spans="1:9" x14ac:dyDescent="0.3">
      <c r="A307" t="s">
        <v>9</v>
      </c>
      <c r="B307" t="s">
        <v>338</v>
      </c>
      <c r="C307" s="7" t="s">
        <v>909</v>
      </c>
      <c r="D307" s="1">
        <v>42518</v>
      </c>
      <c r="E307" t="s">
        <v>1152</v>
      </c>
      <c r="G307" t="s">
        <v>1171</v>
      </c>
      <c r="H307" t="s">
        <v>1193</v>
      </c>
    </row>
    <row r="308" spans="1:9" x14ac:dyDescent="0.3">
      <c r="A308" t="s">
        <v>220</v>
      </c>
      <c r="B308" t="s">
        <v>15</v>
      </c>
      <c r="C308" t="s">
        <v>910</v>
      </c>
      <c r="D308" s="1">
        <v>42519</v>
      </c>
      <c r="E308" t="s">
        <v>1164</v>
      </c>
      <c r="F308">
        <v>1904.73</v>
      </c>
      <c r="G308" t="s">
        <v>1175</v>
      </c>
      <c r="H308" t="s">
        <v>1202</v>
      </c>
      <c r="I308" t="s">
        <v>1177</v>
      </c>
    </row>
    <row r="309" spans="1:9" x14ac:dyDescent="0.3">
      <c r="A309" t="s">
        <v>223</v>
      </c>
      <c r="B309" t="s">
        <v>421</v>
      </c>
      <c r="C309" t="s">
        <v>911</v>
      </c>
      <c r="D309" s="1">
        <v>44098</v>
      </c>
      <c r="E309" t="s">
        <v>1167</v>
      </c>
      <c r="F309">
        <v>1101.81</v>
      </c>
      <c r="G309" t="s">
        <v>1176</v>
      </c>
      <c r="H309" t="s">
        <v>1202</v>
      </c>
      <c r="I309" t="s">
        <v>1196</v>
      </c>
    </row>
    <row r="310" spans="1:9" x14ac:dyDescent="0.3">
      <c r="A310" t="s">
        <v>229</v>
      </c>
      <c r="B310" t="s">
        <v>422</v>
      </c>
      <c r="C310" s="6" t="s">
        <v>912</v>
      </c>
      <c r="F310">
        <v>1539.66</v>
      </c>
      <c r="G310" t="s">
        <v>1171</v>
      </c>
      <c r="H310" t="s">
        <v>1195</v>
      </c>
      <c r="I310" t="s">
        <v>1185</v>
      </c>
    </row>
    <row r="311" spans="1:9" x14ac:dyDescent="0.3">
      <c r="B311" t="s">
        <v>423</v>
      </c>
      <c r="C311" s="6" t="s">
        <v>913</v>
      </c>
      <c r="F311">
        <v>378.73</v>
      </c>
      <c r="H311" t="s">
        <v>1201</v>
      </c>
      <c r="I311" t="s">
        <v>1183</v>
      </c>
    </row>
    <row r="312" spans="1:9" x14ac:dyDescent="0.3">
      <c r="A312" t="s">
        <v>424</v>
      </c>
      <c r="B312" t="s">
        <v>425</v>
      </c>
      <c r="C312" s="6" t="s">
        <v>914</v>
      </c>
      <c r="D312" s="1">
        <v>45469</v>
      </c>
      <c r="E312" t="s">
        <v>1164</v>
      </c>
      <c r="F312">
        <v>1850.31</v>
      </c>
      <c r="H312" t="s">
        <v>1193</v>
      </c>
      <c r="I312" t="s">
        <v>1179</v>
      </c>
    </row>
    <row r="313" spans="1:9" x14ac:dyDescent="0.3">
      <c r="B313" t="s">
        <v>426</v>
      </c>
      <c r="C313" s="6" t="s">
        <v>915</v>
      </c>
      <c r="D313" s="1">
        <v>45470</v>
      </c>
      <c r="E313" t="s">
        <v>1170</v>
      </c>
      <c r="F313">
        <v>879.77</v>
      </c>
      <c r="G313" t="s">
        <v>1173</v>
      </c>
      <c r="H313" t="s">
        <v>1197</v>
      </c>
      <c r="I313" t="s">
        <v>1177</v>
      </c>
    </row>
    <row r="314" spans="1:9" x14ac:dyDescent="0.3">
      <c r="A314" t="s">
        <v>427</v>
      </c>
      <c r="B314" t="s">
        <v>428</v>
      </c>
      <c r="C314" s="6" t="s">
        <v>916</v>
      </c>
      <c r="D314" s="1">
        <v>44856</v>
      </c>
      <c r="E314" t="s">
        <v>1168</v>
      </c>
      <c r="F314">
        <v>1712.61</v>
      </c>
      <c r="G314" t="s">
        <v>1174</v>
      </c>
      <c r="I314" t="s">
        <v>1180</v>
      </c>
    </row>
    <row r="315" spans="1:9" x14ac:dyDescent="0.3">
      <c r="A315" t="s">
        <v>216</v>
      </c>
      <c r="B315" t="s">
        <v>429</v>
      </c>
      <c r="C315" s="6" t="s">
        <v>917</v>
      </c>
      <c r="D315" s="1">
        <v>44806</v>
      </c>
      <c r="E315" t="s">
        <v>1158</v>
      </c>
      <c r="G315" t="s">
        <v>1171</v>
      </c>
      <c r="H315" t="s">
        <v>1184</v>
      </c>
      <c r="I315" t="s">
        <v>1180</v>
      </c>
    </row>
    <row r="316" spans="1:9" x14ac:dyDescent="0.3">
      <c r="A316" t="s">
        <v>430</v>
      </c>
      <c r="B316" t="s">
        <v>198</v>
      </c>
      <c r="C316" s="6" t="s">
        <v>918</v>
      </c>
      <c r="D316" s="1">
        <v>44807</v>
      </c>
      <c r="E316" t="s">
        <v>1167</v>
      </c>
      <c r="F316">
        <v>633.74</v>
      </c>
      <c r="G316" t="s">
        <v>1172</v>
      </c>
      <c r="H316" t="s">
        <v>1187</v>
      </c>
      <c r="I316" t="s">
        <v>1183</v>
      </c>
    </row>
    <row r="317" spans="1:9" x14ac:dyDescent="0.3">
      <c r="A317" t="s">
        <v>391</v>
      </c>
      <c r="B317" t="s">
        <v>431</v>
      </c>
      <c r="C317" s="6" t="s">
        <v>919</v>
      </c>
      <c r="D317" s="1">
        <v>44808</v>
      </c>
      <c r="E317" t="s">
        <v>1170</v>
      </c>
      <c r="F317">
        <v>1142.27</v>
      </c>
      <c r="G317" t="s">
        <v>1171</v>
      </c>
      <c r="H317" t="s">
        <v>1198</v>
      </c>
      <c r="I317" t="s">
        <v>1185</v>
      </c>
    </row>
    <row r="318" spans="1:9" x14ac:dyDescent="0.3">
      <c r="A318" t="s">
        <v>3</v>
      </c>
      <c r="B318" t="s">
        <v>432</v>
      </c>
      <c r="C318" t="s">
        <v>920</v>
      </c>
      <c r="D318" s="39">
        <v>43453</v>
      </c>
      <c r="E318" t="s">
        <v>1165</v>
      </c>
      <c r="F318">
        <v>1813.62</v>
      </c>
      <c r="G318" t="s">
        <v>1171</v>
      </c>
      <c r="H318" t="s">
        <v>1190</v>
      </c>
      <c r="I318" t="s">
        <v>1185</v>
      </c>
    </row>
    <row r="319" spans="1:9" x14ac:dyDescent="0.3">
      <c r="A319" t="s">
        <v>427</v>
      </c>
      <c r="B319" t="s">
        <v>433</v>
      </c>
      <c r="C319" t="s">
        <v>921</v>
      </c>
      <c r="D319" s="39">
        <v>43311</v>
      </c>
      <c r="F319">
        <v>818.93</v>
      </c>
      <c r="G319" t="s">
        <v>1172</v>
      </c>
      <c r="H319" t="s">
        <v>1194</v>
      </c>
      <c r="I319" t="s">
        <v>1179</v>
      </c>
    </row>
    <row r="320" spans="1:9" x14ac:dyDescent="0.3">
      <c r="A320" t="s">
        <v>434</v>
      </c>
      <c r="B320" t="s">
        <v>435</v>
      </c>
      <c r="C320" t="s">
        <v>922</v>
      </c>
      <c r="D320" s="39">
        <v>43474</v>
      </c>
      <c r="E320" t="s">
        <v>1166</v>
      </c>
      <c r="F320">
        <v>1810.79</v>
      </c>
      <c r="G320" t="s">
        <v>1173</v>
      </c>
      <c r="H320" t="s">
        <v>1195</v>
      </c>
      <c r="I320" t="s">
        <v>1183</v>
      </c>
    </row>
    <row r="321" spans="1:9" x14ac:dyDescent="0.3">
      <c r="A321" t="s">
        <v>386</v>
      </c>
      <c r="B321" t="s">
        <v>436</v>
      </c>
      <c r="C321" t="s">
        <v>923</v>
      </c>
      <c r="D321" s="39">
        <v>42996</v>
      </c>
      <c r="E321" t="s">
        <v>1156</v>
      </c>
      <c r="F321">
        <v>380.85</v>
      </c>
      <c r="G321" t="s">
        <v>1176</v>
      </c>
      <c r="H321" t="s">
        <v>1182</v>
      </c>
      <c r="I321" t="s">
        <v>1180</v>
      </c>
    </row>
    <row r="322" spans="1:9" x14ac:dyDescent="0.3">
      <c r="A322" t="s">
        <v>437</v>
      </c>
      <c r="B322" t="s">
        <v>438</v>
      </c>
      <c r="C322" t="s">
        <v>924</v>
      </c>
      <c r="D322" s="39">
        <v>42997</v>
      </c>
      <c r="E322" t="s">
        <v>1163</v>
      </c>
      <c r="F322">
        <v>198.56</v>
      </c>
      <c r="G322" t="s">
        <v>1173</v>
      </c>
      <c r="H322" t="s">
        <v>1191</v>
      </c>
      <c r="I322" t="s">
        <v>1196</v>
      </c>
    </row>
    <row r="323" spans="1:9" x14ac:dyDescent="0.3">
      <c r="A323" t="s">
        <v>439</v>
      </c>
      <c r="C323" s="4" t="s">
        <v>925</v>
      </c>
      <c r="D323" s="39">
        <v>42323</v>
      </c>
      <c r="E323" t="s">
        <v>1152</v>
      </c>
      <c r="F323">
        <v>455.52</v>
      </c>
      <c r="G323" t="s">
        <v>1174</v>
      </c>
      <c r="I323" t="s">
        <v>1180</v>
      </c>
    </row>
    <row r="324" spans="1:9" x14ac:dyDescent="0.3">
      <c r="A324" t="s">
        <v>157</v>
      </c>
      <c r="B324" t="s">
        <v>440</v>
      </c>
      <c r="C324" s="4" t="s">
        <v>926</v>
      </c>
      <c r="D324" s="39">
        <v>45027</v>
      </c>
      <c r="E324" s="34" t="s">
        <v>1158</v>
      </c>
      <c r="F324">
        <v>353.13</v>
      </c>
      <c r="G324" t="s">
        <v>1175</v>
      </c>
      <c r="H324" t="s">
        <v>1189</v>
      </c>
      <c r="I324" t="s">
        <v>1196</v>
      </c>
    </row>
    <row r="325" spans="1:9" x14ac:dyDescent="0.3">
      <c r="A325" t="s">
        <v>121</v>
      </c>
      <c r="B325" t="s">
        <v>441</v>
      </c>
      <c r="C325" s="4" t="s">
        <v>927</v>
      </c>
      <c r="D325" s="1">
        <v>45337</v>
      </c>
      <c r="E325" s="34" t="s">
        <v>1170</v>
      </c>
      <c r="F325">
        <v>1523.82</v>
      </c>
      <c r="G325" t="s">
        <v>1174</v>
      </c>
      <c r="H325" t="s">
        <v>1199</v>
      </c>
      <c r="I325" t="s">
        <v>1179</v>
      </c>
    </row>
    <row r="326" spans="1:9" x14ac:dyDescent="0.3">
      <c r="A326" t="s">
        <v>293</v>
      </c>
      <c r="B326" t="s">
        <v>373</v>
      </c>
      <c r="C326" s="4" t="s">
        <v>928</v>
      </c>
      <c r="D326" s="1">
        <v>42600</v>
      </c>
      <c r="E326" s="34" t="s">
        <v>1163</v>
      </c>
      <c r="F326">
        <v>1795.47</v>
      </c>
      <c r="G326" t="s">
        <v>1172</v>
      </c>
      <c r="H326" t="s">
        <v>1194</v>
      </c>
      <c r="I326" t="s">
        <v>1183</v>
      </c>
    </row>
    <row r="327" spans="1:9" x14ac:dyDescent="0.3">
      <c r="A327" t="s">
        <v>6</v>
      </c>
      <c r="B327" t="s">
        <v>442</v>
      </c>
      <c r="C327" s="4" t="s">
        <v>929</v>
      </c>
      <c r="D327" s="1">
        <v>43431</v>
      </c>
      <c r="E327" s="34" t="s">
        <v>1152</v>
      </c>
      <c r="F327">
        <v>1255.78</v>
      </c>
      <c r="G327" t="s">
        <v>1171</v>
      </c>
      <c r="H327" t="s">
        <v>1198</v>
      </c>
      <c r="I327" t="s">
        <v>1180</v>
      </c>
    </row>
    <row r="328" spans="1:9" x14ac:dyDescent="0.3">
      <c r="A328" t="s">
        <v>105</v>
      </c>
      <c r="B328" t="s">
        <v>443</v>
      </c>
      <c r="C328" s="4" t="s">
        <v>930</v>
      </c>
      <c r="D328" s="1">
        <v>45330</v>
      </c>
      <c r="E328" s="34" t="s">
        <v>1158</v>
      </c>
      <c r="F328">
        <v>734.76</v>
      </c>
      <c r="G328" t="s">
        <v>1171</v>
      </c>
      <c r="H328" t="s">
        <v>1186</v>
      </c>
      <c r="I328" t="s">
        <v>1185</v>
      </c>
    </row>
    <row r="329" spans="1:9" x14ac:dyDescent="0.3">
      <c r="A329" t="s">
        <v>444</v>
      </c>
      <c r="B329" t="s">
        <v>445</v>
      </c>
      <c r="C329" s="4" t="s">
        <v>931</v>
      </c>
      <c r="D329" s="1">
        <v>45224</v>
      </c>
      <c r="E329" s="34" t="s">
        <v>1169</v>
      </c>
      <c r="F329">
        <v>229.56</v>
      </c>
      <c r="G329" t="s">
        <v>1173</v>
      </c>
      <c r="H329" t="s">
        <v>1181</v>
      </c>
      <c r="I329" t="s">
        <v>1183</v>
      </c>
    </row>
    <row r="330" spans="1:9" x14ac:dyDescent="0.3">
      <c r="A330" t="s">
        <v>159</v>
      </c>
      <c r="C330" s="4" t="s">
        <v>932</v>
      </c>
      <c r="E330" s="34" t="s">
        <v>1161</v>
      </c>
      <c r="F330">
        <v>259.14999999999998</v>
      </c>
      <c r="G330" t="s">
        <v>1175</v>
      </c>
      <c r="H330" t="s">
        <v>1194</v>
      </c>
      <c r="I330" t="s">
        <v>1180</v>
      </c>
    </row>
    <row r="331" spans="1:9" x14ac:dyDescent="0.3">
      <c r="A331" t="s">
        <v>444</v>
      </c>
      <c r="B331" t="s">
        <v>446</v>
      </c>
      <c r="C331" s="4" t="s">
        <v>933</v>
      </c>
      <c r="D331" s="1">
        <v>43996</v>
      </c>
      <c r="E331" s="34" t="s">
        <v>1153</v>
      </c>
      <c r="F331">
        <v>1858.51</v>
      </c>
      <c r="G331" t="s">
        <v>1172</v>
      </c>
      <c r="H331" t="s">
        <v>1195</v>
      </c>
      <c r="I331" t="s">
        <v>1185</v>
      </c>
    </row>
    <row r="332" spans="1:9" x14ac:dyDescent="0.3">
      <c r="A332" t="s">
        <v>317</v>
      </c>
      <c r="B332" t="s">
        <v>447</v>
      </c>
      <c r="C332" s="4" t="s">
        <v>934</v>
      </c>
      <c r="D332" s="1">
        <v>43585</v>
      </c>
      <c r="E332" s="34" t="s">
        <v>1164</v>
      </c>
      <c r="F332">
        <v>664.17</v>
      </c>
      <c r="G332" t="s">
        <v>1173</v>
      </c>
      <c r="H332" t="s">
        <v>1193</v>
      </c>
      <c r="I332" t="s">
        <v>1179</v>
      </c>
    </row>
    <row r="333" spans="1:9" x14ac:dyDescent="0.3">
      <c r="B333" t="s">
        <v>448</v>
      </c>
      <c r="C333" s="4" t="s">
        <v>935</v>
      </c>
      <c r="D333" s="1">
        <v>43586</v>
      </c>
      <c r="E333" s="34" t="s">
        <v>1159</v>
      </c>
      <c r="G333" t="s">
        <v>1171</v>
      </c>
      <c r="H333" t="s">
        <v>1178</v>
      </c>
      <c r="I333" t="s">
        <v>1196</v>
      </c>
    </row>
    <row r="334" spans="1:9" x14ac:dyDescent="0.3">
      <c r="A334" s="16" t="s">
        <v>449</v>
      </c>
      <c r="B334" t="s">
        <v>450</v>
      </c>
      <c r="C334" t="s">
        <v>936</v>
      </c>
      <c r="D334" s="1">
        <v>42586</v>
      </c>
      <c r="E334" t="s">
        <v>1161</v>
      </c>
      <c r="F334">
        <v>1911.79</v>
      </c>
      <c r="G334" t="s">
        <v>1173</v>
      </c>
      <c r="H334" t="s">
        <v>1182</v>
      </c>
      <c r="I334" t="s">
        <v>1179</v>
      </c>
    </row>
    <row r="335" spans="1:9" x14ac:dyDescent="0.3">
      <c r="A335" s="16" t="s">
        <v>30</v>
      </c>
      <c r="B335" t="s">
        <v>354</v>
      </c>
      <c r="C335" t="s">
        <v>937</v>
      </c>
      <c r="E335" t="s">
        <v>1153</v>
      </c>
      <c r="F335">
        <v>1727.2</v>
      </c>
      <c r="G335" t="s">
        <v>1174</v>
      </c>
      <c r="H335" t="s">
        <v>1186</v>
      </c>
      <c r="I335" t="s">
        <v>1177</v>
      </c>
    </row>
    <row r="336" spans="1:9" x14ac:dyDescent="0.3">
      <c r="A336" s="16" t="s">
        <v>451</v>
      </c>
      <c r="B336" t="s">
        <v>452</v>
      </c>
      <c r="C336" t="s">
        <v>938</v>
      </c>
      <c r="D336" s="1">
        <v>43001</v>
      </c>
      <c r="E336" t="s">
        <v>1164</v>
      </c>
      <c r="F336">
        <v>1110.1400000000001</v>
      </c>
      <c r="G336" t="s">
        <v>1173</v>
      </c>
    </row>
    <row r="337" spans="1:9" x14ac:dyDescent="0.3">
      <c r="A337" s="16" t="s">
        <v>453</v>
      </c>
      <c r="B337" t="s">
        <v>454</v>
      </c>
      <c r="C337" t="s">
        <v>939</v>
      </c>
      <c r="D337" s="1">
        <v>45057</v>
      </c>
      <c r="F337">
        <v>1966.38</v>
      </c>
      <c r="G337" t="s">
        <v>1172</v>
      </c>
      <c r="H337" t="s">
        <v>1201</v>
      </c>
      <c r="I337" t="s">
        <v>1185</v>
      </c>
    </row>
    <row r="338" spans="1:9" x14ac:dyDescent="0.3">
      <c r="A338" s="16" t="s">
        <v>455</v>
      </c>
      <c r="B338" t="s">
        <v>456</v>
      </c>
      <c r="C338" t="s">
        <v>940</v>
      </c>
      <c r="D338" s="1">
        <v>43156</v>
      </c>
      <c r="E338" t="s">
        <v>1163</v>
      </c>
      <c r="F338">
        <v>1094.8399999999999</v>
      </c>
      <c r="G338" t="s">
        <v>1173</v>
      </c>
      <c r="H338" t="s">
        <v>1197</v>
      </c>
      <c r="I338" t="s">
        <v>1196</v>
      </c>
    </row>
    <row r="339" spans="1:9" x14ac:dyDescent="0.3">
      <c r="A339" s="16"/>
      <c r="C339" t="s">
        <v>941</v>
      </c>
      <c r="D339" s="1">
        <v>43032</v>
      </c>
      <c r="E339" t="s">
        <v>1154</v>
      </c>
      <c r="F339">
        <v>451.84</v>
      </c>
      <c r="G339" t="s">
        <v>1173</v>
      </c>
      <c r="H339" t="s">
        <v>1193</v>
      </c>
      <c r="I339" t="s">
        <v>1177</v>
      </c>
    </row>
    <row r="340" spans="1:9" x14ac:dyDescent="0.3">
      <c r="A340" s="16" t="s">
        <v>148</v>
      </c>
      <c r="B340" t="s">
        <v>441</v>
      </c>
      <c r="C340" t="s">
        <v>942</v>
      </c>
      <c r="D340" s="1">
        <v>44059</v>
      </c>
      <c r="E340" t="s">
        <v>1164</v>
      </c>
      <c r="F340">
        <v>1203.49</v>
      </c>
      <c r="G340" t="s">
        <v>1176</v>
      </c>
      <c r="H340" t="s">
        <v>1195</v>
      </c>
      <c r="I340" t="s">
        <v>1196</v>
      </c>
    </row>
    <row r="341" spans="1:9" x14ac:dyDescent="0.3">
      <c r="A341" s="16" t="s">
        <v>457</v>
      </c>
      <c r="B341" t="s">
        <v>458</v>
      </c>
      <c r="C341" t="s">
        <v>943</v>
      </c>
      <c r="D341" s="1">
        <v>42304</v>
      </c>
      <c r="E341" t="s">
        <v>1157</v>
      </c>
      <c r="F341">
        <v>1033.82</v>
      </c>
      <c r="H341" t="s">
        <v>1197</v>
      </c>
      <c r="I341" t="s">
        <v>1180</v>
      </c>
    </row>
    <row r="342" spans="1:9" x14ac:dyDescent="0.3">
      <c r="A342" s="16" t="s">
        <v>160</v>
      </c>
      <c r="B342" t="s">
        <v>459</v>
      </c>
      <c r="C342" t="s">
        <v>944</v>
      </c>
      <c r="D342" s="1">
        <v>44924</v>
      </c>
      <c r="E342" t="s">
        <v>1153</v>
      </c>
      <c r="F342">
        <v>1695.29</v>
      </c>
      <c r="G342" t="s">
        <v>1172</v>
      </c>
      <c r="H342" t="s">
        <v>1202</v>
      </c>
      <c r="I342" t="s">
        <v>1183</v>
      </c>
    </row>
    <row r="343" spans="1:9" x14ac:dyDescent="0.3">
      <c r="A343" s="16" t="s">
        <v>166</v>
      </c>
      <c r="B343" t="s">
        <v>460</v>
      </c>
      <c r="C343" t="s">
        <v>945</v>
      </c>
      <c r="D343" s="1">
        <v>44697</v>
      </c>
      <c r="E343" t="s">
        <v>1168</v>
      </c>
      <c r="F343">
        <v>188.37</v>
      </c>
      <c r="G343" t="s">
        <v>1171</v>
      </c>
      <c r="H343" t="s">
        <v>1193</v>
      </c>
      <c r="I343" t="s">
        <v>1179</v>
      </c>
    </row>
    <row r="344" spans="1:9" x14ac:dyDescent="0.3">
      <c r="A344" t="s">
        <v>461</v>
      </c>
      <c r="B344" t="s">
        <v>462</v>
      </c>
      <c r="C344" t="s">
        <v>946</v>
      </c>
      <c r="E344" t="s">
        <v>1167</v>
      </c>
      <c r="F344">
        <v>1002.94</v>
      </c>
      <c r="H344" t="s">
        <v>1200</v>
      </c>
      <c r="I344" t="s">
        <v>1183</v>
      </c>
    </row>
    <row r="345" spans="1:9" x14ac:dyDescent="0.3">
      <c r="A345" t="s">
        <v>463</v>
      </c>
      <c r="B345" t="s">
        <v>464</v>
      </c>
      <c r="C345" t="s">
        <v>947</v>
      </c>
      <c r="D345" s="1">
        <v>44501</v>
      </c>
      <c r="E345" t="s">
        <v>1165</v>
      </c>
      <c r="G345" t="s">
        <v>1173</v>
      </c>
      <c r="H345" t="s">
        <v>1198</v>
      </c>
      <c r="I345" t="s">
        <v>1179</v>
      </c>
    </row>
    <row r="346" spans="1:9" x14ac:dyDescent="0.3">
      <c r="A346" t="s">
        <v>1</v>
      </c>
      <c r="B346" t="s">
        <v>149</v>
      </c>
      <c r="C346" t="s">
        <v>948</v>
      </c>
      <c r="D346" s="1">
        <v>45255</v>
      </c>
      <c r="E346" t="s">
        <v>1163</v>
      </c>
      <c r="F346">
        <v>1635.61</v>
      </c>
      <c r="G346" t="s">
        <v>1175</v>
      </c>
      <c r="H346" t="s">
        <v>1190</v>
      </c>
      <c r="I346" t="s">
        <v>1185</v>
      </c>
    </row>
    <row r="347" spans="1:9" x14ac:dyDescent="0.3">
      <c r="A347" t="s">
        <v>339</v>
      </c>
      <c r="B347" t="s">
        <v>465</v>
      </c>
      <c r="C347" t="s">
        <v>949</v>
      </c>
      <c r="D347" s="1">
        <v>43425</v>
      </c>
      <c r="E347" t="s">
        <v>1163</v>
      </c>
      <c r="F347">
        <v>1960.53</v>
      </c>
      <c r="G347" t="s">
        <v>1172</v>
      </c>
    </row>
    <row r="348" spans="1:9" x14ac:dyDescent="0.3">
      <c r="A348" t="s">
        <v>2</v>
      </c>
      <c r="B348" t="s">
        <v>466</v>
      </c>
      <c r="C348" t="s">
        <v>950</v>
      </c>
      <c r="D348" s="1">
        <v>42262</v>
      </c>
      <c r="E348" t="s">
        <v>1168</v>
      </c>
      <c r="F348">
        <v>1870.18</v>
      </c>
      <c r="G348" t="s">
        <v>1176</v>
      </c>
      <c r="H348" t="s">
        <v>1181</v>
      </c>
      <c r="I348" t="s">
        <v>1179</v>
      </c>
    </row>
    <row r="349" spans="1:9" x14ac:dyDescent="0.3">
      <c r="A349" t="s">
        <v>467</v>
      </c>
      <c r="B349" t="s">
        <v>429</v>
      </c>
      <c r="C349" t="s">
        <v>951</v>
      </c>
      <c r="D349" s="1">
        <v>42263</v>
      </c>
      <c r="F349">
        <v>531.63</v>
      </c>
      <c r="G349" t="s">
        <v>1174</v>
      </c>
      <c r="H349" t="s">
        <v>1199</v>
      </c>
      <c r="I349" t="s">
        <v>1183</v>
      </c>
    </row>
    <row r="350" spans="1:9" x14ac:dyDescent="0.3">
      <c r="A350" t="s">
        <v>104</v>
      </c>
      <c r="B350" t="s">
        <v>91</v>
      </c>
      <c r="C350" t="s">
        <v>952</v>
      </c>
      <c r="D350" s="1">
        <v>44221</v>
      </c>
      <c r="E350" t="s">
        <v>1154</v>
      </c>
      <c r="F350">
        <v>289.72000000000003</v>
      </c>
      <c r="G350" t="s">
        <v>1172</v>
      </c>
      <c r="H350" t="s">
        <v>1189</v>
      </c>
      <c r="I350" t="s">
        <v>1179</v>
      </c>
    </row>
    <row r="351" spans="1:9" x14ac:dyDescent="0.3">
      <c r="A351" t="s">
        <v>468</v>
      </c>
      <c r="B351" t="s">
        <v>31</v>
      </c>
      <c r="C351" t="s">
        <v>953</v>
      </c>
      <c r="D351" s="1">
        <v>44745</v>
      </c>
      <c r="E351" t="s">
        <v>1169</v>
      </c>
      <c r="G351" t="s">
        <v>1176</v>
      </c>
    </row>
    <row r="352" spans="1:9" x14ac:dyDescent="0.3">
      <c r="A352" t="s">
        <v>469</v>
      </c>
      <c r="B352" t="s">
        <v>470</v>
      </c>
      <c r="C352" t="s">
        <v>954</v>
      </c>
      <c r="D352" s="1">
        <v>45283</v>
      </c>
      <c r="E352" t="s">
        <v>1152</v>
      </c>
      <c r="G352" t="s">
        <v>1173</v>
      </c>
      <c r="I352" t="s">
        <v>1179</v>
      </c>
    </row>
    <row r="353" spans="1:9" x14ac:dyDescent="0.3">
      <c r="A353" t="s">
        <v>83</v>
      </c>
      <c r="B353" t="s">
        <v>471</v>
      </c>
      <c r="C353" t="s">
        <v>955</v>
      </c>
      <c r="D353" s="1">
        <v>44052</v>
      </c>
      <c r="E353" t="s">
        <v>1169</v>
      </c>
      <c r="F353">
        <v>266.16000000000003</v>
      </c>
      <c r="G353" t="s">
        <v>1172</v>
      </c>
      <c r="H353" t="s">
        <v>1186</v>
      </c>
      <c r="I353" t="s">
        <v>1179</v>
      </c>
    </row>
    <row r="354" spans="1:9" x14ac:dyDescent="0.3">
      <c r="A354" t="s">
        <v>472</v>
      </c>
      <c r="B354" t="s">
        <v>473</v>
      </c>
      <c r="C354" t="s">
        <v>956</v>
      </c>
      <c r="D354" s="1">
        <v>44053</v>
      </c>
      <c r="E354" t="s">
        <v>1163</v>
      </c>
      <c r="F354">
        <v>178.61</v>
      </c>
      <c r="G354" t="s">
        <v>1173</v>
      </c>
      <c r="H354" t="s">
        <v>1194</v>
      </c>
      <c r="I354" t="s">
        <v>1196</v>
      </c>
    </row>
    <row r="355" spans="1:9" x14ac:dyDescent="0.3">
      <c r="A355" t="s">
        <v>474</v>
      </c>
      <c r="C355" t="s">
        <v>957</v>
      </c>
      <c r="D355" s="1">
        <v>41867</v>
      </c>
      <c r="E355" t="s">
        <v>1160</v>
      </c>
      <c r="G355" s="34" t="s">
        <v>1173</v>
      </c>
      <c r="I355" t="s">
        <v>1179</v>
      </c>
    </row>
    <row r="356" spans="1:9" x14ac:dyDescent="0.3">
      <c r="A356" t="s">
        <v>134</v>
      </c>
      <c r="B356" t="s">
        <v>43</v>
      </c>
      <c r="C356" t="s">
        <v>958</v>
      </c>
      <c r="D356" s="1">
        <v>41868</v>
      </c>
      <c r="E356" t="s">
        <v>1170</v>
      </c>
      <c r="F356">
        <v>1320.34</v>
      </c>
      <c r="G356" s="34" t="s">
        <v>1172</v>
      </c>
      <c r="H356" t="s">
        <v>1181</v>
      </c>
      <c r="I356" t="s">
        <v>1179</v>
      </c>
    </row>
    <row r="357" spans="1:9" x14ac:dyDescent="0.3">
      <c r="A357" t="s">
        <v>92</v>
      </c>
      <c r="B357" t="s">
        <v>475</v>
      </c>
      <c r="C357" t="s">
        <v>959</v>
      </c>
      <c r="D357" s="1">
        <v>45079</v>
      </c>
      <c r="E357" t="s">
        <v>1170</v>
      </c>
      <c r="F357">
        <v>528.86</v>
      </c>
      <c r="G357" s="34" t="s">
        <v>1174</v>
      </c>
      <c r="H357" t="s">
        <v>1197</v>
      </c>
      <c r="I357" t="s">
        <v>1177</v>
      </c>
    </row>
    <row r="358" spans="1:9" x14ac:dyDescent="0.3">
      <c r="A358" t="s">
        <v>476</v>
      </c>
      <c r="B358" t="s">
        <v>477</v>
      </c>
      <c r="C358" t="s">
        <v>960</v>
      </c>
      <c r="E358" t="s">
        <v>1160</v>
      </c>
      <c r="F358">
        <v>1771.09</v>
      </c>
      <c r="G358" s="34" t="s">
        <v>1171</v>
      </c>
      <c r="H358" t="s">
        <v>1198</v>
      </c>
      <c r="I358" t="s">
        <v>1196</v>
      </c>
    </row>
    <row r="359" spans="1:9" x14ac:dyDescent="0.3">
      <c r="A359" t="s">
        <v>478</v>
      </c>
      <c r="B359" t="s">
        <v>17</v>
      </c>
      <c r="C359" t="s">
        <v>961</v>
      </c>
      <c r="D359" s="1">
        <v>45230</v>
      </c>
      <c r="E359" t="s">
        <v>1151</v>
      </c>
      <c r="F359">
        <v>340.01</v>
      </c>
      <c r="G359" s="34" t="s">
        <v>1171</v>
      </c>
      <c r="H359" t="s">
        <v>1182</v>
      </c>
      <c r="I359" t="s">
        <v>1180</v>
      </c>
    </row>
    <row r="360" spans="1:9" x14ac:dyDescent="0.3">
      <c r="A360" t="s">
        <v>121</v>
      </c>
      <c r="B360" t="s">
        <v>479</v>
      </c>
      <c r="C360" t="s">
        <v>962</v>
      </c>
      <c r="D360" s="1">
        <v>45231</v>
      </c>
      <c r="E360" t="s">
        <v>1163</v>
      </c>
      <c r="F360">
        <v>291.70999999999998</v>
      </c>
      <c r="G360" s="34" t="s">
        <v>1171</v>
      </c>
      <c r="H360" t="s">
        <v>1192</v>
      </c>
      <c r="I360" t="s">
        <v>1185</v>
      </c>
    </row>
    <row r="361" spans="1:9" x14ac:dyDescent="0.3">
      <c r="A361" t="s">
        <v>144</v>
      </c>
      <c r="B361" s="16" t="s">
        <v>4</v>
      </c>
      <c r="C361" s="41" t="s">
        <v>963</v>
      </c>
      <c r="D361" s="1">
        <v>43657</v>
      </c>
      <c r="E361" t="s">
        <v>1162</v>
      </c>
      <c r="F361">
        <v>1165.06</v>
      </c>
      <c r="G361" s="34"/>
      <c r="H361" t="s">
        <v>1194</v>
      </c>
      <c r="I361" t="s">
        <v>1196</v>
      </c>
    </row>
    <row r="362" spans="1:9" x14ac:dyDescent="0.3">
      <c r="A362" t="s">
        <v>480</v>
      </c>
      <c r="B362" s="16" t="s">
        <v>351</v>
      </c>
      <c r="C362" s="41" t="s">
        <v>964</v>
      </c>
      <c r="D362" s="1">
        <v>43658</v>
      </c>
      <c r="E362" t="s">
        <v>1155</v>
      </c>
      <c r="F362">
        <v>483.68</v>
      </c>
      <c r="G362" s="34" t="s">
        <v>1175</v>
      </c>
      <c r="H362" t="s">
        <v>1199</v>
      </c>
      <c r="I362" t="s">
        <v>1180</v>
      </c>
    </row>
    <row r="363" spans="1:9" x14ac:dyDescent="0.3">
      <c r="A363" t="s">
        <v>481</v>
      </c>
      <c r="B363" s="16" t="s">
        <v>29</v>
      </c>
      <c r="C363" s="41" t="s">
        <v>965</v>
      </c>
      <c r="D363" s="1">
        <v>43023</v>
      </c>
      <c r="E363" t="s">
        <v>1163</v>
      </c>
      <c r="F363">
        <v>321.29000000000002</v>
      </c>
      <c r="G363" t="s">
        <v>1175</v>
      </c>
      <c r="H363" t="s">
        <v>1197</v>
      </c>
      <c r="I363" t="s">
        <v>1183</v>
      </c>
    </row>
    <row r="364" spans="1:9" x14ac:dyDescent="0.3">
      <c r="A364" t="s">
        <v>482</v>
      </c>
      <c r="B364" s="16" t="s">
        <v>483</v>
      </c>
      <c r="C364" s="41" t="s">
        <v>966</v>
      </c>
      <c r="D364" s="1">
        <v>44542</v>
      </c>
      <c r="E364" t="s">
        <v>1168</v>
      </c>
      <c r="F364">
        <v>283.77</v>
      </c>
      <c r="G364" t="s">
        <v>1174</v>
      </c>
      <c r="H364" t="s">
        <v>1202</v>
      </c>
      <c r="I364" t="s">
        <v>1183</v>
      </c>
    </row>
    <row r="365" spans="1:9" x14ac:dyDescent="0.3">
      <c r="A365" t="s">
        <v>306</v>
      </c>
      <c r="B365" s="16" t="s">
        <v>484</v>
      </c>
      <c r="C365" s="41" t="s">
        <v>967</v>
      </c>
      <c r="D365" s="1">
        <v>42912</v>
      </c>
      <c r="E365" t="s">
        <v>1158</v>
      </c>
      <c r="F365">
        <v>538.49</v>
      </c>
      <c r="G365" t="s">
        <v>1176</v>
      </c>
      <c r="H365" t="s">
        <v>1199</v>
      </c>
      <c r="I365" t="s">
        <v>1177</v>
      </c>
    </row>
    <row r="366" spans="1:9" x14ac:dyDescent="0.3">
      <c r="A366" t="s">
        <v>481</v>
      </c>
      <c r="B366" s="16" t="s">
        <v>485</v>
      </c>
      <c r="C366" s="41" t="s">
        <v>968</v>
      </c>
      <c r="D366" s="1">
        <v>44062</v>
      </c>
      <c r="E366" t="s">
        <v>1166</v>
      </c>
      <c r="F366">
        <v>1224.6099999999999</v>
      </c>
      <c r="G366" t="s">
        <v>1172</v>
      </c>
      <c r="H366" t="s">
        <v>1182</v>
      </c>
      <c r="I366" t="s">
        <v>1196</v>
      </c>
    </row>
    <row r="367" spans="1:9" x14ac:dyDescent="0.3">
      <c r="A367" t="s">
        <v>81</v>
      </c>
      <c r="B367" t="s">
        <v>486</v>
      </c>
      <c r="C367" s="7" t="s">
        <v>969</v>
      </c>
      <c r="D367" s="1">
        <v>44063</v>
      </c>
      <c r="E367" t="s">
        <v>1153</v>
      </c>
      <c r="G367" t="s">
        <v>1173</v>
      </c>
      <c r="H367" t="s">
        <v>1200</v>
      </c>
    </row>
    <row r="368" spans="1:9" x14ac:dyDescent="0.3">
      <c r="A368" t="s">
        <v>455</v>
      </c>
      <c r="B368" t="s">
        <v>487</v>
      </c>
      <c r="C368" s="7" t="s">
        <v>970</v>
      </c>
      <c r="D368" s="1">
        <v>44064</v>
      </c>
      <c r="E368" t="s">
        <v>1152</v>
      </c>
      <c r="F368">
        <v>1456.96</v>
      </c>
      <c r="G368" t="s">
        <v>1174</v>
      </c>
      <c r="H368" t="s">
        <v>1200</v>
      </c>
      <c r="I368" t="s">
        <v>1179</v>
      </c>
    </row>
    <row r="369" spans="1:9" x14ac:dyDescent="0.3">
      <c r="A369" t="s">
        <v>488</v>
      </c>
      <c r="B369" t="s">
        <v>248</v>
      </c>
      <c r="C369" s="7" t="s">
        <v>971</v>
      </c>
      <c r="D369" s="1">
        <v>43387</v>
      </c>
      <c r="E369" t="s">
        <v>1169</v>
      </c>
      <c r="F369">
        <v>1001.36</v>
      </c>
      <c r="G369" t="s">
        <v>1173</v>
      </c>
      <c r="H369" t="s">
        <v>1191</v>
      </c>
      <c r="I369" t="s">
        <v>1179</v>
      </c>
    </row>
    <row r="370" spans="1:9" x14ac:dyDescent="0.3">
      <c r="A370" t="s">
        <v>489</v>
      </c>
      <c r="C370" s="7" t="s">
        <v>972</v>
      </c>
      <c r="D370" s="1">
        <v>42924</v>
      </c>
      <c r="E370" t="s">
        <v>1162</v>
      </c>
      <c r="F370">
        <v>1383.95</v>
      </c>
      <c r="G370" t="s">
        <v>1175</v>
      </c>
      <c r="H370" t="s">
        <v>1195</v>
      </c>
      <c r="I370" t="s">
        <v>1185</v>
      </c>
    </row>
    <row r="371" spans="1:9" x14ac:dyDescent="0.3">
      <c r="A371" t="s">
        <v>490</v>
      </c>
      <c r="B371" t="s">
        <v>56</v>
      </c>
      <c r="C371" s="7" t="s">
        <v>973</v>
      </c>
      <c r="D371" s="1">
        <v>44247</v>
      </c>
      <c r="E371" t="s">
        <v>1163</v>
      </c>
      <c r="F371">
        <v>805.08</v>
      </c>
      <c r="G371" t="s">
        <v>1171</v>
      </c>
      <c r="H371" t="s">
        <v>1195</v>
      </c>
      <c r="I371" t="s">
        <v>1183</v>
      </c>
    </row>
    <row r="372" spans="1:9" x14ac:dyDescent="0.3">
      <c r="C372" s="7" t="s">
        <v>974</v>
      </c>
      <c r="D372" s="1">
        <v>45401</v>
      </c>
      <c r="E372" t="s">
        <v>1170</v>
      </c>
      <c r="F372">
        <v>121.4</v>
      </c>
      <c r="G372" t="s">
        <v>1175</v>
      </c>
      <c r="H372" t="s">
        <v>1186</v>
      </c>
      <c r="I372" t="s">
        <v>1180</v>
      </c>
    </row>
    <row r="373" spans="1:9" x14ac:dyDescent="0.3">
      <c r="A373" t="s">
        <v>491</v>
      </c>
      <c r="B373" t="s">
        <v>492</v>
      </c>
      <c r="C373" s="7" t="s">
        <v>975</v>
      </c>
      <c r="D373" s="1">
        <v>45197</v>
      </c>
      <c r="E373" t="s">
        <v>1166</v>
      </c>
      <c r="F373">
        <v>1578.61</v>
      </c>
      <c r="G373" t="s">
        <v>1176</v>
      </c>
      <c r="H373" t="s">
        <v>1189</v>
      </c>
      <c r="I373" t="s">
        <v>1196</v>
      </c>
    </row>
    <row r="374" spans="1:9" x14ac:dyDescent="0.3">
      <c r="A374" t="s">
        <v>493</v>
      </c>
      <c r="B374" t="s">
        <v>494</v>
      </c>
      <c r="C374" s="7" t="s">
        <v>976</v>
      </c>
      <c r="E374" t="s">
        <v>1156</v>
      </c>
      <c r="F374">
        <v>907.6</v>
      </c>
      <c r="G374" t="s">
        <v>1173</v>
      </c>
      <c r="H374" t="s">
        <v>1181</v>
      </c>
      <c r="I374" t="s">
        <v>1183</v>
      </c>
    </row>
    <row r="375" spans="1:9" x14ac:dyDescent="0.3">
      <c r="B375" t="s">
        <v>282</v>
      </c>
      <c r="C375" s="7" t="s">
        <v>977</v>
      </c>
      <c r="D375" s="1">
        <v>43583</v>
      </c>
      <c r="E375" t="s">
        <v>1155</v>
      </c>
      <c r="F375">
        <v>1342.86</v>
      </c>
      <c r="G375" t="s">
        <v>1176</v>
      </c>
      <c r="H375" t="s">
        <v>1200</v>
      </c>
      <c r="I375" t="s">
        <v>1180</v>
      </c>
    </row>
    <row r="376" spans="1:9" x14ac:dyDescent="0.3">
      <c r="A376" t="s">
        <v>308</v>
      </c>
      <c r="B376" t="s">
        <v>342</v>
      </c>
      <c r="C376" s="7" t="s">
        <v>978</v>
      </c>
      <c r="D376" s="1">
        <v>44672</v>
      </c>
      <c r="E376" t="s">
        <v>1151</v>
      </c>
      <c r="F376">
        <v>124.85</v>
      </c>
      <c r="H376" t="s">
        <v>1178</v>
      </c>
      <c r="I376" s="4" t="s">
        <v>1180</v>
      </c>
    </row>
    <row r="377" spans="1:9" x14ac:dyDescent="0.3">
      <c r="A377" t="s">
        <v>495</v>
      </c>
      <c r="B377" t="s">
        <v>496</v>
      </c>
      <c r="C377" s="7" t="s">
        <v>979</v>
      </c>
      <c r="D377" s="1">
        <v>43398</v>
      </c>
      <c r="E377" t="s">
        <v>1169</v>
      </c>
      <c r="G377" t="s">
        <v>1173</v>
      </c>
      <c r="H377" t="s">
        <v>1181</v>
      </c>
      <c r="I377" s="4" t="s">
        <v>1183</v>
      </c>
    </row>
    <row r="378" spans="1:9" x14ac:dyDescent="0.3">
      <c r="A378" t="s">
        <v>497</v>
      </c>
      <c r="B378" t="s">
        <v>397</v>
      </c>
      <c r="C378" t="s">
        <v>980</v>
      </c>
      <c r="D378" s="39">
        <v>42925</v>
      </c>
      <c r="E378" t="s">
        <v>1152</v>
      </c>
      <c r="F378">
        <v>1592.34</v>
      </c>
      <c r="G378" s="7" t="s">
        <v>1171</v>
      </c>
      <c r="H378" t="s">
        <v>1197</v>
      </c>
      <c r="I378" s="4" t="s">
        <v>1179</v>
      </c>
    </row>
    <row r="379" spans="1:9" x14ac:dyDescent="0.3">
      <c r="A379" t="s">
        <v>498</v>
      </c>
      <c r="B379" t="s">
        <v>499</v>
      </c>
      <c r="C379" t="s">
        <v>981</v>
      </c>
      <c r="D379" s="39">
        <v>42926</v>
      </c>
      <c r="F379">
        <v>1165.3</v>
      </c>
      <c r="G379" s="7"/>
      <c r="H379" t="s">
        <v>1199</v>
      </c>
      <c r="I379" s="4" t="s">
        <v>1185</v>
      </c>
    </row>
    <row r="380" spans="1:9" x14ac:dyDescent="0.3">
      <c r="A380" t="s">
        <v>500</v>
      </c>
      <c r="B380" t="s">
        <v>501</v>
      </c>
      <c r="C380" t="s">
        <v>982</v>
      </c>
      <c r="D380" s="39">
        <v>43807</v>
      </c>
      <c r="E380" t="s">
        <v>1169</v>
      </c>
      <c r="F380">
        <v>1142.83</v>
      </c>
      <c r="G380" s="7" t="s">
        <v>1172</v>
      </c>
      <c r="I380" s="4"/>
    </row>
    <row r="381" spans="1:9" x14ac:dyDescent="0.3">
      <c r="A381" t="s">
        <v>314</v>
      </c>
      <c r="B381" t="s">
        <v>409</v>
      </c>
      <c r="C381" s="4" t="s">
        <v>983</v>
      </c>
      <c r="D381" s="39">
        <v>44984</v>
      </c>
      <c r="E381" t="s">
        <v>1153</v>
      </c>
      <c r="F381">
        <v>349.55</v>
      </c>
      <c r="G381" s="7"/>
      <c r="H381" t="s">
        <v>1186</v>
      </c>
      <c r="I381" s="4" t="s">
        <v>1177</v>
      </c>
    </row>
    <row r="382" spans="1:9" x14ac:dyDescent="0.3">
      <c r="A382" t="s">
        <v>502</v>
      </c>
      <c r="B382" t="s">
        <v>503</v>
      </c>
      <c r="C382" s="4" t="s">
        <v>984</v>
      </c>
      <c r="D382" s="39">
        <v>43422</v>
      </c>
      <c r="E382" t="s">
        <v>1167</v>
      </c>
      <c r="F382">
        <v>1590.62</v>
      </c>
      <c r="G382" s="7" t="s">
        <v>1171</v>
      </c>
      <c r="H382" t="s">
        <v>1194</v>
      </c>
      <c r="I382" s="4" t="s">
        <v>1177</v>
      </c>
    </row>
    <row r="383" spans="1:9" x14ac:dyDescent="0.3">
      <c r="A383" t="s">
        <v>102</v>
      </c>
      <c r="B383" t="s">
        <v>504</v>
      </c>
      <c r="C383" s="4" t="s">
        <v>985</v>
      </c>
      <c r="F383">
        <v>1858.64</v>
      </c>
      <c r="G383" s="7" t="s">
        <v>1172</v>
      </c>
      <c r="H383" t="s">
        <v>1192</v>
      </c>
      <c r="I383" s="4" t="s">
        <v>1196</v>
      </c>
    </row>
    <row r="384" spans="1:9" x14ac:dyDescent="0.3">
      <c r="A384" t="s">
        <v>391</v>
      </c>
      <c r="B384" t="s">
        <v>505</v>
      </c>
      <c r="C384" s="4" t="s">
        <v>986</v>
      </c>
      <c r="D384" s="1">
        <v>43779</v>
      </c>
      <c r="E384" t="s">
        <v>1156</v>
      </c>
      <c r="F384">
        <v>739.75</v>
      </c>
      <c r="G384" s="7" t="s">
        <v>1172</v>
      </c>
      <c r="H384" t="s">
        <v>1198</v>
      </c>
      <c r="I384" s="4" t="s">
        <v>1196</v>
      </c>
    </row>
    <row r="385" spans="1:9" x14ac:dyDescent="0.3">
      <c r="B385" t="s">
        <v>506</v>
      </c>
      <c r="C385" s="4" t="s">
        <v>987</v>
      </c>
      <c r="D385" s="1">
        <v>44832</v>
      </c>
      <c r="E385" t="s">
        <v>1165</v>
      </c>
      <c r="F385">
        <v>55.61</v>
      </c>
      <c r="G385" s="7" t="s">
        <v>1172</v>
      </c>
      <c r="H385" t="s">
        <v>1190</v>
      </c>
      <c r="I385" s="4" t="s">
        <v>1180</v>
      </c>
    </row>
    <row r="386" spans="1:9" x14ac:dyDescent="0.3">
      <c r="A386" t="s">
        <v>502</v>
      </c>
      <c r="B386" t="s">
        <v>389</v>
      </c>
      <c r="C386" s="4" t="s">
        <v>988</v>
      </c>
      <c r="D386" s="1">
        <v>44833</v>
      </c>
      <c r="E386" t="s">
        <v>1155</v>
      </c>
      <c r="F386">
        <v>1752.17</v>
      </c>
      <c r="G386" s="7" t="s">
        <v>1173</v>
      </c>
      <c r="H386" t="s">
        <v>1198</v>
      </c>
      <c r="I386" s="4" t="s">
        <v>1177</v>
      </c>
    </row>
    <row r="387" spans="1:9" x14ac:dyDescent="0.3">
      <c r="A387" t="s">
        <v>507</v>
      </c>
      <c r="B387" t="s">
        <v>58</v>
      </c>
      <c r="C387" s="4" t="s">
        <v>989</v>
      </c>
      <c r="D387" s="1">
        <v>44556</v>
      </c>
      <c r="F387">
        <v>1441.75</v>
      </c>
      <c r="G387" s="7" t="s">
        <v>1171</v>
      </c>
      <c r="H387" t="s">
        <v>1190</v>
      </c>
      <c r="I387" s="4" t="s">
        <v>1185</v>
      </c>
    </row>
    <row r="388" spans="1:9" x14ac:dyDescent="0.3">
      <c r="A388" t="s">
        <v>264</v>
      </c>
      <c r="B388" t="s">
        <v>328</v>
      </c>
      <c r="C388" s="4" t="s">
        <v>990</v>
      </c>
      <c r="D388" s="1">
        <v>43153</v>
      </c>
      <c r="E388" t="s">
        <v>1156</v>
      </c>
      <c r="F388">
        <v>1096.1600000000001</v>
      </c>
      <c r="G388" s="7" t="s">
        <v>1175</v>
      </c>
      <c r="H388" t="s">
        <v>1181</v>
      </c>
      <c r="I388" s="4" t="s">
        <v>1177</v>
      </c>
    </row>
    <row r="389" spans="1:9" x14ac:dyDescent="0.3">
      <c r="A389" t="s">
        <v>240</v>
      </c>
      <c r="B389" t="s">
        <v>508</v>
      </c>
      <c r="C389" s="4" t="s">
        <v>991</v>
      </c>
      <c r="E389" t="s">
        <v>1169</v>
      </c>
      <c r="F389">
        <v>1409.5</v>
      </c>
      <c r="G389" s="7" t="s">
        <v>1174</v>
      </c>
      <c r="H389" t="s">
        <v>1192</v>
      </c>
      <c r="I389" s="4" t="s">
        <v>1183</v>
      </c>
    </row>
    <row r="390" spans="1:9" x14ac:dyDescent="0.3">
      <c r="A390" t="s">
        <v>357</v>
      </c>
      <c r="C390" s="4" t="s">
        <v>992</v>
      </c>
      <c r="D390" s="1">
        <v>42640</v>
      </c>
      <c r="E390" t="s">
        <v>1166</v>
      </c>
      <c r="F390">
        <v>1056.04</v>
      </c>
      <c r="G390" s="7" t="s">
        <v>1172</v>
      </c>
      <c r="I390" t="s">
        <v>1183</v>
      </c>
    </row>
    <row r="391" spans="1:9" x14ac:dyDescent="0.3">
      <c r="A391" t="s">
        <v>134</v>
      </c>
      <c r="B391" t="s">
        <v>76</v>
      </c>
      <c r="C391" s="4" t="s">
        <v>993</v>
      </c>
      <c r="E391" t="s">
        <v>1160</v>
      </c>
      <c r="F391">
        <v>1175.44</v>
      </c>
      <c r="G391" s="7" t="s">
        <v>1173</v>
      </c>
      <c r="H391" t="s">
        <v>1192</v>
      </c>
      <c r="I391" t="s">
        <v>1196</v>
      </c>
    </row>
    <row r="392" spans="1:9" x14ac:dyDescent="0.3">
      <c r="A392" t="s">
        <v>468</v>
      </c>
      <c r="B392" t="s">
        <v>509</v>
      </c>
      <c r="C392" t="s">
        <v>994</v>
      </c>
      <c r="D392" s="1">
        <v>42178</v>
      </c>
      <c r="E392" t="s">
        <v>1154</v>
      </c>
      <c r="G392" s="7" t="s">
        <v>1174</v>
      </c>
      <c r="H392" t="s">
        <v>1194</v>
      </c>
      <c r="I392" t="s">
        <v>1179</v>
      </c>
    </row>
    <row r="393" spans="1:9" x14ac:dyDescent="0.3">
      <c r="A393" t="s">
        <v>303</v>
      </c>
      <c r="C393" t="s">
        <v>995</v>
      </c>
      <c r="D393" s="1">
        <v>42697</v>
      </c>
      <c r="F393">
        <v>1362.72</v>
      </c>
      <c r="G393" s="7" t="s">
        <v>1175</v>
      </c>
      <c r="H393" t="s">
        <v>1190</v>
      </c>
      <c r="I393" t="s">
        <v>1196</v>
      </c>
    </row>
    <row r="394" spans="1:9" x14ac:dyDescent="0.3">
      <c r="A394" t="s">
        <v>510</v>
      </c>
      <c r="B394" t="s">
        <v>442</v>
      </c>
      <c r="C394" t="s">
        <v>996</v>
      </c>
      <c r="D394" s="1">
        <v>44687</v>
      </c>
      <c r="E394" t="s">
        <v>1155</v>
      </c>
      <c r="F394">
        <v>1734.96</v>
      </c>
      <c r="G394" s="7" t="s">
        <v>1172</v>
      </c>
      <c r="H394" t="s">
        <v>1186</v>
      </c>
    </row>
    <row r="395" spans="1:9" x14ac:dyDescent="0.3">
      <c r="A395" t="s">
        <v>381</v>
      </c>
      <c r="B395" t="s">
        <v>511</v>
      </c>
      <c r="C395" t="s">
        <v>997</v>
      </c>
      <c r="D395" s="1">
        <v>44688</v>
      </c>
      <c r="E395" t="s">
        <v>1156</v>
      </c>
      <c r="F395">
        <v>1426.55</v>
      </c>
      <c r="G395" t="s">
        <v>1173</v>
      </c>
      <c r="H395" t="s">
        <v>1182</v>
      </c>
      <c r="I395" t="s">
        <v>1185</v>
      </c>
    </row>
    <row r="396" spans="1:9" x14ac:dyDescent="0.3">
      <c r="A396" t="s">
        <v>512</v>
      </c>
      <c r="B396" t="s">
        <v>513</v>
      </c>
      <c r="C396" t="s">
        <v>998</v>
      </c>
      <c r="D396" s="1">
        <v>44689</v>
      </c>
      <c r="E396" t="s">
        <v>1167</v>
      </c>
      <c r="F396">
        <v>225.47</v>
      </c>
      <c r="G396" t="s">
        <v>1174</v>
      </c>
      <c r="H396" t="s">
        <v>1190</v>
      </c>
      <c r="I396" t="s">
        <v>1185</v>
      </c>
    </row>
    <row r="397" spans="1:9" x14ac:dyDescent="0.3">
      <c r="A397" t="s">
        <v>514</v>
      </c>
      <c r="B397" t="s">
        <v>113</v>
      </c>
      <c r="C397" t="s">
        <v>999</v>
      </c>
      <c r="D397" s="1">
        <v>44690</v>
      </c>
      <c r="E397" t="s">
        <v>1152</v>
      </c>
      <c r="F397">
        <v>1422.62</v>
      </c>
      <c r="G397" t="s">
        <v>1171</v>
      </c>
      <c r="H397" t="s">
        <v>1184</v>
      </c>
      <c r="I397" t="s">
        <v>1185</v>
      </c>
    </row>
    <row r="398" spans="1:9" x14ac:dyDescent="0.3">
      <c r="A398" t="s">
        <v>515</v>
      </c>
      <c r="B398" t="s">
        <v>353</v>
      </c>
      <c r="C398" t="s">
        <v>1000</v>
      </c>
      <c r="D398" s="1">
        <v>43443</v>
      </c>
      <c r="E398" t="s">
        <v>1153</v>
      </c>
      <c r="F398">
        <v>1730.85</v>
      </c>
      <c r="H398" t="s">
        <v>1199</v>
      </c>
      <c r="I398" t="s">
        <v>1180</v>
      </c>
    </row>
    <row r="399" spans="1:9" x14ac:dyDescent="0.3">
      <c r="A399" t="s">
        <v>516</v>
      </c>
      <c r="B399" t="s">
        <v>517</v>
      </c>
      <c r="C399" t="s">
        <v>1001</v>
      </c>
      <c r="D399" s="1">
        <v>42170</v>
      </c>
      <c r="E399" t="s">
        <v>1162</v>
      </c>
      <c r="F399">
        <v>1726.07</v>
      </c>
      <c r="G399" t="s">
        <v>1174</v>
      </c>
      <c r="H399" t="s">
        <v>1186</v>
      </c>
      <c r="I399" t="s">
        <v>1179</v>
      </c>
    </row>
    <row r="400" spans="1:9" x14ac:dyDescent="0.3">
      <c r="A400" t="s">
        <v>518</v>
      </c>
      <c r="B400" t="s">
        <v>519</v>
      </c>
      <c r="C400" t="s">
        <v>1002</v>
      </c>
      <c r="D400" s="1">
        <v>42171</v>
      </c>
      <c r="E400" t="s">
        <v>1163</v>
      </c>
      <c r="F400">
        <v>1510.37</v>
      </c>
      <c r="G400" t="s">
        <v>1175</v>
      </c>
      <c r="H400" t="s">
        <v>1189</v>
      </c>
      <c r="I400" t="s">
        <v>1179</v>
      </c>
    </row>
    <row r="401" spans="1:9" x14ac:dyDescent="0.3">
      <c r="A401" t="s">
        <v>345</v>
      </c>
      <c r="B401" t="s">
        <v>520</v>
      </c>
      <c r="C401" t="s">
        <v>1003</v>
      </c>
      <c r="D401" s="1">
        <v>42702</v>
      </c>
      <c r="E401" t="s">
        <v>1152</v>
      </c>
      <c r="G401" t="s">
        <v>1172</v>
      </c>
      <c r="I401" t="s">
        <v>1177</v>
      </c>
    </row>
    <row r="402" spans="1:9" x14ac:dyDescent="0.3">
      <c r="A402" t="s">
        <v>278</v>
      </c>
      <c r="B402" t="s">
        <v>29</v>
      </c>
      <c r="C402" t="s">
        <v>1004</v>
      </c>
      <c r="E402" t="s">
        <v>1156</v>
      </c>
      <c r="F402">
        <v>264.51</v>
      </c>
      <c r="G402" t="s">
        <v>1176</v>
      </c>
      <c r="H402" t="s">
        <v>1187</v>
      </c>
    </row>
    <row r="403" spans="1:9" x14ac:dyDescent="0.3">
      <c r="A403" t="s">
        <v>81</v>
      </c>
      <c r="B403" t="s">
        <v>521</v>
      </c>
      <c r="C403" t="s">
        <v>1005</v>
      </c>
      <c r="E403" t="s">
        <v>1151</v>
      </c>
      <c r="F403">
        <v>873.81</v>
      </c>
      <c r="G403" t="s">
        <v>1176</v>
      </c>
      <c r="I403" t="s">
        <v>1183</v>
      </c>
    </row>
    <row r="404" spans="1:9" x14ac:dyDescent="0.3">
      <c r="A404" t="s">
        <v>3</v>
      </c>
      <c r="C404" t="s">
        <v>1006</v>
      </c>
      <c r="D404" s="1">
        <v>42604</v>
      </c>
      <c r="E404" t="s">
        <v>1154</v>
      </c>
      <c r="F404">
        <v>705.9</v>
      </c>
      <c r="G404" t="s">
        <v>1176</v>
      </c>
      <c r="H404" t="s">
        <v>1192</v>
      </c>
    </row>
    <row r="405" spans="1:9" x14ac:dyDescent="0.3">
      <c r="A405" t="s">
        <v>355</v>
      </c>
      <c r="B405" t="s">
        <v>95</v>
      </c>
      <c r="C405" t="s">
        <v>1007</v>
      </c>
      <c r="D405" s="1">
        <v>44452</v>
      </c>
      <c r="E405" t="s">
        <v>1153</v>
      </c>
      <c r="F405">
        <v>119.04</v>
      </c>
      <c r="G405" t="s">
        <v>1171</v>
      </c>
      <c r="H405" t="s">
        <v>1178</v>
      </c>
      <c r="I405" t="s">
        <v>1177</v>
      </c>
    </row>
    <row r="406" spans="1:9" x14ac:dyDescent="0.3">
      <c r="A406" t="s">
        <v>222</v>
      </c>
      <c r="B406" t="s">
        <v>522</v>
      </c>
      <c r="C406" t="s">
        <v>1008</v>
      </c>
      <c r="D406" s="1">
        <v>44453</v>
      </c>
      <c r="E406" t="s">
        <v>1164</v>
      </c>
      <c r="F406">
        <v>749.53</v>
      </c>
      <c r="G406" t="s">
        <v>1171</v>
      </c>
      <c r="H406" t="s">
        <v>1190</v>
      </c>
      <c r="I406" t="s">
        <v>1179</v>
      </c>
    </row>
    <row r="407" spans="1:9" x14ac:dyDescent="0.3">
      <c r="A407" t="s">
        <v>523</v>
      </c>
      <c r="B407" t="s">
        <v>524</v>
      </c>
      <c r="C407" t="s">
        <v>1009</v>
      </c>
      <c r="D407" s="1">
        <v>43673</v>
      </c>
      <c r="E407" t="s">
        <v>1169</v>
      </c>
      <c r="F407">
        <v>224.47</v>
      </c>
      <c r="G407" t="s">
        <v>1174</v>
      </c>
      <c r="H407" t="s">
        <v>1186</v>
      </c>
      <c r="I407" s="6" t="s">
        <v>1196</v>
      </c>
    </row>
    <row r="408" spans="1:9" x14ac:dyDescent="0.3">
      <c r="A408" t="s">
        <v>525</v>
      </c>
      <c r="B408" t="s">
        <v>526</v>
      </c>
      <c r="C408" t="s">
        <v>1010</v>
      </c>
      <c r="D408" s="1">
        <v>45284</v>
      </c>
      <c r="E408" t="s">
        <v>1151</v>
      </c>
      <c r="F408">
        <v>1228.29</v>
      </c>
      <c r="G408" t="s">
        <v>1171</v>
      </c>
      <c r="H408" t="s">
        <v>1190</v>
      </c>
      <c r="I408" s="6" t="s">
        <v>1183</v>
      </c>
    </row>
    <row r="409" spans="1:9" x14ac:dyDescent="0.3">
      <c r="A409" t="s">
        <v>114</v>
      </c>
      <c r="C409" t="s">
        <v>1011</v>
      </c>
      <c r="D409" s="39">
        <v>44369</v>
      </c>
      <c r="E409" t="s">
        <v>1167</v>
      </c>
      <c r="F409">
        <v>1004.06</v>
      </c>
      <c r="G409" t="s">
        <v>1172</v>
      </c>
      <c r="H409" t="s">
        <v>1199</v>
      </c>
      <c r="I409" s="6" t="s">
        <v>1183</v>
      </c>
    </row>
    <row r="410" spans="1:9" x14ac:dyDescent="0.3">
      <c r="A410" t="s">
        <v>512</v>
      </c>
      <c r="B410" t="s">
        <v>527</v>
      </c>
      <c r="C410" t="s">
        <v>1012</v>
      </c>
      <c r="D410" s="39">
        <v>44370</v>
      </c>
      <c r="E410" t="s">
        <v>1152</v>
      </c>
      <c r="F410">
        <v>274.79000000000002</v>
      </c>
      <c r="H410" t="s">
        <v>1187</v>
      </c>
      <c r="I410" s="6" t="s">
        <v>1180</v>
      </c>
    </row>
    <row r="411" spans="1:9" x14ac:dyDescent="0.3">
      <c r="B411" t="s">
        <v>56</v>
      </c>
      <c r="C411" s="6" t="s">
        <v>1013</v>
      </c>
      <c r="D411" s="39">
        <v>44975</v>
      </c>
      <c r="E411" t="s">
        <v>1160</v>
      </c>
      <c r="F411">
        <v>1709.2</v>
      </c>
      <c r="G411" t="s">
        <v>1172</v>
      </c>
      <c r="H411" t="s">
        <v>1178</v>
      </c>
      <c r="I411" s="6" t="s">
        <v>1185</v>
      </c>
    </row>
    <row r="412" spans="1:9" x14ac:dyDescent="0.3">
      <c r="B412" t="s">
        <v>528</v>
      </c>
      <c r="C412" s="6" t="s">
        <v>1014</v>
      </c>
      <c r="D412" s="39">
        <v>43219</v>
      </c>
      <c r="F412">
        <v>1738.64</v>
      </c>
      <c r="G412" t="s">
        <v>1173</v>
      </c>
      <c r="H412" t="s">
        <v>1201</v>
      </c>
      <c r="I412" s="6" t="s">
        <v>1183</v>
      </c>
    </row>
    <row r="413" spans="1:9" x14ac:dyDescent="0.3">
      <c r="A413" s="6" t="s">
        <v>157</v>
      </c>
      <c r="C413" s="6" t="s">
        <v>1015</v>
      </c>
      <c r="D413" s="39">
        <v>43580</v>
      </c>
      <c r="E413" t="s">
        <v>1152</v>
      </c>
      <c r="F413">
        <v>1633.27</v>
      </c>
      <c r="G413" t="s">
        <v>1174</v>
      </c>
      <c r="H413" t="s">
        <v>1188</v>
      </c>
      <c r="I413" s="6" t="s">
        <v>1185</v>
      </c>
    </row>
    <row r="414" spans="1:9" x14ac:dyDescent="0.3">
      <c r="A414" s="6" t="s">
        <v>272</v>
      </c>
      <c r="B414" t="s">
        <v>529</v>
      </c>
      <c r="C414" s="6" t="s">
        <v>1016</v>
      </c>
      <c r="D414" s="39">
        <v>43581</v>
      </c>
      <c r="E414" t="s">
        <v>1168</v>
      </c>
      <c r="F414">
        <v>179.31</v>
      </c>
      <c r="G414" t="s">
        <v>1172</v>
      </c>
      <c r="H414" t="s">
        <v>1186</v>
      </c>
      <c r="I414" s="6" t="s">
        <v>1196</v>
      </c>
    </row>
    <row r="415" spans="1:9" x14ac:dyDescent="0.3">
      <c r="A415" s="6" t="s">
        <v>530</v>
      </c>
      <c r="B415" t="s">
        <v>531</v>
      </c>
      <c r="C415" s="6" t="s">
        <v>1017</v>
      </c>
      <c r="D415" s="1">
        <v>43582</v>
      </c>
      <c r="E415" t="s">
        <v>1155</v>
      </c>
      <c r="F415">
        <v>1106.83</v>
      </c>
      <c r="H415" t="s">
        <v>1178</v>
      </c>
      <c r="I415" s="6" t="s">
        <v>1180</v>
      </c>
    </row>
    <row r="416" spans="1:9" x14ac:dyDescent="0.3">
      <c r="A416" s="6" t="s">
        <v>532</v>
      </c>
      <c r="B416" t="s">
        <v>533</v>
      </c>
      <c r="C416" s="6" t="s">
        <v>1018</v>
      </c>
      <c r="D416" s="1">
        <v>42227</v>
      </c>
      <c r="E416" t="s">
        <v>1160</v>
      </c>
      <c r="F416">
        <v>774.69</v>
      </c>
      <c r="G416" t="s">
        <v>1174</v>
      </c>
      <c r="H416" t="s">
        <v>1197</v>
      </c>
      <c r="I416" s="6" t="s">
        <v>1179</v>
      </c>
    </row>
    <row r="417" spans="1:9" x14ac:dyDescent="0.3">
      <c r="A417" s="6" t="s">
        <v>189</v>
      </c>
      <c r="B417" s="7" t="s">
        <v>31</v>
      </c>
      <c r="C417" s="6" t="s">
        <v>1019</v>
      </c>
      <c r="E417" t="s">
        <v>1155</v>
      </c>
      <c r="G417" t="s">
        <v>1171</v>
      </c>
      <c r="H417" t="s">
        <v>1193</v>
      </c>
      <c r="I417" s="6" t="s">
        <v>1180</v>
      </c>
    </row>
    <row r="418" spans="1:9" x14ac:dyDescent="0.3">
      <c r="A418" s="6" t="s">
        <v>534</v>
      </c>
      <c r="B418" s="7" t="s">
        <v>535</v>
      </c>
      <c r="C418" s="6" t="s">
        <v>1020</v>
      </c>
      <c r="D418" s="1">
        <v>43200</v>
      </c>
      <c r="E418" t="s">
        <v>1157</v>
      </c>
      <c r="F418">
        <v>565.08000000000004</v>
      </c>
      <c r="G418" t="s">
        <v>1171</v>
      </c>
      <c r="H418" t="s">
        <v>1187</v>
      </c>
      <c r="I418" s="6"/>
    </row>
    <row r="419" spans="1:9" x14ac:dyDescent="0.3">
      <c r="A419" s="6" t="s">
        <v>104</v>
      </c>
      <c r="B419" s="7" t="s">
        <v>536</v>
      </c>
      <c r="C419" s="6" t="s">
        <v>1021</v>
      </c>
      <c r="D419" s="1">
        <v>44089</v>
      </c>
      <c r="E419" t="s">
        <v>1155</v>
      </c>
      <c r="F419">
        <v>129.72999999999999</v>
      </c>
      <c r="G419" t="s">
        <v>1171</v>
      </c>
      <c r="H419" t="s">
        <v>1188</v>
      </c>
      <c r="I419" s="6"/>
    </row>
    <row r="420" spans="1:9" x14ac:dyDescent="0.3">
      <c r="A420" s="6" t="s">
        <v>223</v>
      </c>
      <c r="B420" s="7" t="s">
        <v>537</v>
      </c>
      <c r="C420" s="6" t="s">
        <v>1022</v>
      </c>
      <c r="D420" s="1">
        <v>44090</v>
      </c>
      <c r="E420" t="s">
        <v>1156</v>
      </c>
      <c r="F420">
        <v>1477.04</v>
      </c>
      <c r="G420" t="s">
        <v>1176</v>
      </c>
      <c r="H420" t="s">
        <v>1199</v>
      </c>
      <c r="I420" s="6" t="s">
        <v>1185</v>
      </c>
    </row>
    <row r="421" spans="1:9" x14ac:dyDescent="0.3">
      <c r="A421" s="6" t="s">
        <v>538</v>
      </c>
      <c r="B421" s="7" t="s">
        <v>539</v>
      </c>
      <c r="C421" s="6" t="s">
        <v>1023</v>
      </c>
      <c r="D421" s="1">
        <v>44091</v>
      </c>
      <c r="E421" t="s">
        <v>1155</v>
      </c>
      <c r="H421" t="s">
        <v>1192</v>
      </c>
      <c r="I421" s="6" t="s">
        <v>1180</v>
      </c>
    </row>
    <row r="422" spans="1:9" x14ac:dyDescent="0.3">
      <c r="A422" s="6" t="s">
        <v>306</v>
      </c>
      <c r="B422" s="7" t="s">
        <v>540</v>
      </c>
      <c r="C422" s="6" t="s">
        <v>1024</v>
      </c>
      <c r="D422" s="1">
        <v>44092</v>
      </c>
      <c r="E422" t="s">
        <v>1165</v>
      </c>
      <c r="F422">
        <v>1502.74</v>
      </c>
      <c r="G422" t="s">
        <v>1175</v>
      </c>
      <c r="H422" t="s">
        <v>1197</v>
      </c>
      <c r="I422" t="s">
        <v>1180</v>
      </c>
    </row>
    <row r="423" spans="1:9" x14ac:dyDescent="0.3">
      <c r="A423" s="6" t="s">
        <v>142</v>
      </c>
      <c r="B423" s="7" t="s">
        <v>541</v>
      </c>
      <c r="C423" s="6" t="s">
        <v>1025</v>
      </c>
      <c r="E423" t="s">
        <v>1165</v>
      </c>
      <c r="F423">
        <v>583.72</v>
      </c>
      <c r="G423" t="s">
        <v>1174</v>
      </c>
      <c r="H423" t="s">
        <v>1197</v>
      </c>
      <c r="I423" t="s">
        <v>1179</v>
      </c>
    </row>
    <row r="424" spans="1:9" x14ac:dyDescent="0.3">
      <c r="A424" s="6" t="s">
        <v>481</v>
      </c>
      <c r="B424" s="7" t="s">
        <v>542</v>
      </c>
      <c r="C424" s="6" t="s">
        <v>1026</v>
      </c>
      <c r="D424" s="1">
        <v>41895</v>
      </c>
      <c r="E424" t="s">
        <v>1163</v>
      </c>
      <c r="F424">
        <v>544.89</v>
      </c>
      <c r="G424" t="s">
        <v>1176</v>
      </c>
      <c r="H424" t="s">
        <v>1199</v>
      </c>
    </row>
    <row r="425" spans="1:9" x14ac:dyDescent="0.3">
      <c r="A425" t="s">
        <v>243</v>
      </c>
      <c r="B425" s="7" t="s">
        <v>371</v>
      </c>
      <c r="C425" s="6" t="s">
        <v>1027</v>
      </c>
      <c r="D425" s="1">
        <v>43226</v>
      </c>
      <c r="E425" s="7" t="s">
        <v>1157</v>
      </c>
      <c r="F425">
        <v>1246.83</v>
      </c>
      <c r="G425" t="s">
        <v>1171</v>
      </c>
      <c r="H425" t="s">
        <v>1189</v>
      </c>
      <c r="I425" t="s">
        <v>1196</v>
      </c>
    </row>
    <row r="426" spans="1:9" x14ac:dyDescent="0.3">
      <c r="A426" t="s">
        <v>543</v>
      </c>
      <c r="B426" s="7" t="s">
        <v>544</v>
      </c>
      <c r="C426" t="s">
        <v>1028</v>
      </c>
      <c r="D426" s="1">
        <v>42778</v>
      </c>
      <c r="E426" s="7" t="s">
        <v>1156</v>
      </c>
      <c r="F426">
        <v>1448.02</v>
      </c>
      <c r="G426" t="s">
        <v>1173</v>
      </c>
      <c r="I426" t="s">
        <v>1185</v>
      </c>
    </row>
    <row r="427" spans="1:9" x14ac:dyDescent="0.3">
      <c r="A427" t="s">
        <v>493</v>
      </c>
      <c r="B427" s="7" t="s">
        <v>545</v>
      </c>
      <c r="C427" t="s">
        <v>1029</v>
      </c>
      <c r="D427" s="1">
        <v>44661</v>
      </c>
      <c r="E427" s="7" t="s">
        <v>1165</v>
      </c>
      <c r="F427">
        <v>217.09</v>
      </c>
      <c r="H427" t="s">
        <v>1197</v>
      </c>
      <c r="I427" t="s">
        <v>1185</v>
      </c>
    </row>
    <row r="428" spans="1:9" x14ac:dyDescent="0.3">
      <c r="A428" t="s">
        <v>242</v>
      </c>
      <c r="B428" s="7" t="s">
        <v>546</v>
      </c>
      <c r="C428" t="s">
        <v>1030</v>
      </c>
      <c r="D428" s="1">
        <v>44662</v>
      </c>
      <c r="E428" s="7" t="s">
        <v>1157</v>
      </c>
      <c r="F428">
        <v>1290.55</v>
      </c>
      <c r="G428" t="s">
        <v>1175</v>
      </c>
      <c r="I428" t="s">
        <v>1180</v>
      </c>
    </row>
    <row r="429" spans="1:9" x14ac:dyDescent="0.3">
      <c r="A429" t="s">
        <v>381</v>
      </c>
      <c r="B429" s="7" t="s">
        <v>547</v>
      </c>
      <c r="C429" t="s">
        <v>1031</v>
      </c>
      <c r="D429" s="1">
        <v>44663</v>
      </c>
      <c r="E429" s="7" t="s">
        <v>1155</v>
      </c>
      <c r="F429">
        <v>164.93</v>
      </c>
      <c r="G429" t="s">
        <v>1173</v>
      </c>
      <c r="H429" t="s">
        <v>1184</v>
      </c>
      <c r="I429" t="s">
        <v>1196</v>
      </c>
    </row>
    <row r="430" spans="1:9" x14ac:dyDescent="0.3">
      <c r="A430" t="s">
        <v>332</v>
      </c>
      <c r="B430" s="7"/>
      <c r="C430" t="s">
        <v>1032</v>
      </c>
      <c r="D430" s="1">
        <v>44664</v>
      </c>
      <c r="E430" s="7" t="s">
        <v>1152</v>
      </c>
      <c r="F430">
        <v>951.31</v>
      </c>
      <c r="G430" t="s">
        <v>1172</v>
      </c>
      <c r="H430" t="s">
        <v>1178</v>
      </c>
      <c r="I430" t="s">
        <v>1183</v>
      </c>
    </row>
    <row r="431" spans="1:9" x14ac:dyDescent="0.3">
      <c r="A431" t="s">
        <v>278</v>
      </c>
      <c r="B431" s="7" t="s">
        <v>548</v>
      </c>
      <c r="C431" t="s">
        <v>1033</v>
      </c>
      <c r="D431" s="1">
        <v>42909</v>
      </c>
      <c r="E431" s="7" t="s">
        <v>1169</v>
      </c>
      <c r="F431">
        <v>268.52</v>
      </c>
      <c r="G431" t="s">
        <v>1176</v>
      </c>
      <c r="H431" t="s">
        <v>1202</v>
      </c>
      <c r="I431" t="s">
        <v>1180</v>
      </c>
    </row>
    <row r="432" spans="1:9" x14ac:dyDescent="0.3">
      <c r="A432" t="s">
        <v>350</v>
      </c>
      <c r="B432" s="7" t="s">
        <v>549</v>
      </c>
      <c r="C432" t="s">
        <v>1034</v>
      </c>
      <c r="D432" s="1">
        <v>44610</v>
      </c>
      <c r="E432" s="7" t="s">
        <v>1156</v>
      </c>
      <c r="F432">
        <v>877.34</v>
      </c>
      <c r="G432" t="s">
        <v>1175</v>
      </c>
      <c r="H432" t="s">
        <v>1182</v>
      </c>
      <c r="I432" t="s">
        <v>1196</v>
      </c>
    </row>
    <row r="433" spans="1:9" x14ac:dyDescent="0.3">
      <c r="A433" t="s">
        <v>326</v>
      </c>
      <c r="B433" s="7" t="s">
        <v>425</v>
      </c>
      <c r="C433" s="7" t="s">
        <v>1035</v>
      </c>
      <c r="D433" s="1">
        <v>44469</v>
      </c>
      <c r="E433" s="7" t="s">
        <v>1163</v>
      </c>
      <c r="F433">
        <v>1322.75</v>
      </c>
      <c r="G433" t="s">
        <v>1174</v>
      </c>
      <c r="H433" t="s">
        <v>1189</v>
      </c>
      <c r="I433" t="s">
        <v>1183</v>
      </c>
    </row>
    <row r="434" spans="1:9" x14ac:dyDescent="0.3">
      <c r="B434" t="s">
        <v>550</v>
      </c>
      <c r="C434" s="7" t="s">
        <v>1036</v>
      </c>
      <c r="E434" s="7" t="s">
        <v>1162</v>
      </c>
      <c r="F434">
        <v>468.91</v>
      </c>
      <c r="G434" t="s">
        <v>1174</v>
      </c>
      <c r="H434" t="s">
        <v>1184</v>
      </c>
      <c r="I434" t="s">
        <v>1183</v>
      </c>
    </row>
    <row r="435" spans="1:9" x14ac:dyDescent="0.3">
      <c r="A435" t="s">
        <v>168</v>
      </c>
      <c r="B435" t="s">
        <v>454</v>
      </c>
      <c r="C435" s="7" t="s">
        <v>1037</v>
      </c>
      <c r="D435" s="1">
        <v>43704</v>
      </c>
      <c r="E435" s="7" t="s">
        <v>1169</v>
      </c>
      <c r="F435">
        <v>1191.67</v>
      </c>
      <c r="G435" t="s">
        <v>1176</v>
      </c>
      <c r="H435" t="s">
        <v>1195</v>
      </c>
      <c r="I435" t="s">
        <v>1180</v>
      </c>
    </row>
    <row r="436" spans="1:9" x14ac:dyDescent="0.3">
      <c r="A436" t="s">
        <v>85</v>
      </c>
      <c r="B436" t="s">
        <v>551</v>
      </c>
      <c r="C436" s="7" t="s">
        <v>1038</v>
      </c>
      <c r="D436" s="39">
        <v>42395</v>
      </c>
      <c r="E436" t="s">
        <v>1155</v>
      </c>
      <c r="F436">
        <v>970.54</v>
      </c>
      <c r="G436" t="s">
        <v>1176</v>
      </c>
      <c r="H436" t="s">
        <v>1187</v>
      </c>
      <c r="I436" t="s">
        <v>1183</v>
      </c>
    </row>
    <row r="437" spans="1:9" x14ac:dyDescent="0.3">
      <c r="A437" t="s">
        <v>552</v>
      </c>
      <c r="B437" t="s">
        <v>553</v>
      </c>
      <c r="C437" s="7" t="s">
        <v>1039</v>
      </c>
      <c r="D437" s="39">
        <v>42116</v>
      </c>
      <c r="E437" t="s">
        <v>1154</v>
      </c>
      <c r="F437">
        <v>567.88</v>
      </c>
      <c r="G437" t="s">
        <v>1174</v>
      </c>
      <c r="H437" t="s">
        <v>1192</v>
      </c>
    </row>
    <row r="438" spans="1:9" x14ac:dyDescent="0.3">
      <c r="A438" t="s">
        <v>251</v>
      </c>
      <c r="B438" t="s">
        <v>554</v>
      </c>
      <c r="C438" s="7" t="s">
        <v>1040</v>
      </c>
      <c r="D438" s="39">
        <v>41969</v>
      </c>
      <c r="E438" t="s">
        <v>1164</v>
      </c>
      <c r="F438">
        <v>521.66</v>
      </c>
      <c r="G438" t="s">
        <v>1174</v>
      </c>
      <c r="H438" t="s">
        <v>1188</v>
      </c>
      <c r="I438" t="s">
        <v>1183</v>
      </c>
    </row>
    <row r="439" spans="1:9" x14ac:dyDescent="0.3">
      <c r="A439" t="s">
        <v>63</v>
      </c>
      <c r="B439" t="s">
        <v>378</v>
      </c>
      <c r="C439" s="7" t="s">
        <v>1041</v>
      </c>
      <c r="D439" s="39">
        <v>44810</v>
      </c>
      <c r="E439" t="s">
        <v>1161</v>
      </c>
      <c r="F439">
        <v>941.64</v>
      </c>
      <c r="G439" t="s">
        <v>1176</v>
      </c>
      <c r="H439" t="s">
        <v>1192</v>
      </c>
      <c r="I439" s="4" t="s">
        <v>1179</v>
      </c>
    </row>
    <row r="440" spans="1:9" x14ac:dyDescent="0.3">
      <c r="A440" t="s">
        <v>555</v>
      </c>
      <c r="B440" t="s">
        <v>336</v>
      </c>
      <c r="C440" s="7" t="s">
        <v>1042</v>
      </c>
      <c r="D440" s="1">
        <v>42428</v>
      </c>
      <c r="E440" t="s">
        <v>1159</v>
      </c>
      <c r="F440">
        <v>342.66</v>
      </c>
      <c r="G440" t="s">
        <v>1173</v>
      </c>
      <c r="H440" t="s">
        <v>1198</v>
      </c>
      <c r="I440" s="4" t="s">
        <v>1179</v>
      </c>
    </row>
    <row r="441" spans="1:9" x14ac:dyDescent="0.3">
      <c r="A441" t="s">
        <v>444</v>
      </c>
      <c r="B441" t="s">
        <v>556</v>
      </c>
      <c r="C441" s="7" t="s">
        <v>1043</v>
      </c>
      <c r="F441">
        <v>1519.45</v>
      </c>
      <c r="G441" t="s">
        <v>1174</v>
      </c>
      <c r="H441" t="s">
        <v>1192</v>
      </c>
      <c r="I441" s="4"/>
    </row>
    <row r="442" spans="1:9" x14ac:dyDescent="0.3">
      <c r="A442" t="s">
        <v>557</v>
      </c>
      <c r="C442" s="7" t="s">
        <v>1044</v>
      </c>
      <c r="D442" s="1">
        <v>44196</v>
      </c>
      <c r="E442" t="s">
        <v>1166</v>
      </c>
      <c r="F442">
        <v>1327.01</v>
      </c>
      <c r="G442" t="s">
        <v>1173</v>
      </c>
      <c r="I442" s="4" t="s">
        <v>1185</v>
      </c>
    </row>
    <row r="443" spans="1:9" x14ac:dyDescent="0.3">
      <c r="A443" t="s">
        <v>558</v>
      </c>
      <c r="B443" t="s">
        <v>509</v>
      </c>
      <c r="C443" s="7" t="s">
        <v>1045</v>
      </c>
      <c r="D443" s="1">
        <v>44666</v>
      </c>
      <c r="E443" t="s">
        <v>1167</v>
      </c>
      <c r="F443">
        <v>1774.59</v>
      </c>
      <c r="H443" t="s">
        <v>1198</v>
      </c>
      <c r="I443" s="4" t="s">
        <v>1177</v>
      </c>
    </row>
    <row r="444" spans="1:9" x14ac:dyDescent="0.3">
      <c r="A444" t="s">
        <v>209</v>
      </c>
      <c r="B444" t="s">
        <v>93</v>
      </c>
      <c r="C444" s="7" t="s">
        <v>1046</v>
      </c>
      <c r="D444" s="1">
        <v>44018</v>
      </c>
      <c r="E444" t="s">
        <v>1165</v>
      </c>
      <c r="F444">
        <v>88.27</v>
      </c>
      <c r="G444" t="s">
        <v>1176</v>
      </c>
      <c r="H444" t="s">
        <v>1191</v>
      </c>
      <c r="I444" s="4" t="s">
        <v>1180</v>
      </c>
    </row>
    <row r="445" spans="1:9" x14ac:dyDescent="0.3">
      <c r="A445" t="s">
        <v>559</v>
      </c>
      <c r="B445" t="s">
        <v>560</v>
      </c>
      <c r="C445" t="s">
        <v>1047</v>
      </c>
      <c r="D445" s="1">
        <v>43440</v>
      </c>
      <c r="E445" t="s">
        <v>1157</v>
      </c>
      <c r="F445">
        <v>1153.26</v>
      </c>
      <c r="G445" t="s">
        <v>1176</v>
      </c>
      <c r="H445" t="s">
        <v>1191</v>
      </c>
      <c r="I445" t="s">
        <v>1183</v>
      </c>
    </row>
    <row r="446" spans="1:9" x14ac:dyDescent="0.3">
      <c r="A446" t="s">
        <v>412</v>
      </c>
      <c r="C446" t="s">
        <v>1048</v>
      </c>
      <c r="D446" s="1">
        <v>45495</v>
      </c>
      <c r="E446" t="s">
        <v>1166</v>
      </c>
      <c r="F446">
        <v>493.99</v>
      </c>
      <c r="G446" t="s">
        <v>1176</v>
      </c>
      <c r="H446" t="s">
        <v>1182</v>
      </c>
      <c r="I446" t="s">
        <v>1183</v>
      </c>
    </row>
    <row r="447" spans="1:9" x14ac:dyDescent="0.3">
      <c r="A447" t="s">
        <v>249</v>
      </c>
      <c r="B447" t="s">
        <v>409</v>
      </c>
      <c r="C447" t="s">
        <v>1049</v>
      </c>
      <c r="D447" s="1">
        <v>45496</v>
      </c>
      <c r="E447" t="s">
        <v>1153</v>
      </c>
      <c r="F447">
        <v>1385.05</v>
      </c>
      <c r="G447" t="s">
        <v>1171</v>
      </c>
      <c r="I447" t="s">
        <v>1185</v>
      </c>
    </row>
    <row r="448" spans="1:9" x14ac:dyDescent="0.3">
      <c r="A448" t="s">
        <v>552</v>
      </c>
      <c r="B448" t="s">
        <v>561</v>
      </c>
      <c r="C448" t="s">
        <v>1050</v>
      </c>
      <c r="D448" s="1">
        <v>44737</v>
      </c>
      <c r="E448" t="s">
        <v>1158</v>
      </c>
      <c r="F448">
        <v>1674.57</v>
      </c>
      <c r="G448" t="s">
        <v>1171</v>
      </c>
      <c r="H448" t="s">
        <v>1198</v>
      </c>
      <c r="I448" t="s">
        <v>1180</v>
      </c>
    </row>
    <row r="449" spans="1:9" x14ac:dyDescent="0.3">
      <c r="B449" t="s">
        <v>562</v>
      </c>
      <c r="C449" t="s">
        <v>1051</v>
      </c>
      <c r="D449" s="1">
        <v>45244</v>
      </c>
      <c r="E449" t="s">
        <v>1156</v>
      </c>
      <c r="F449">
        <v>360.97</v>
      </c>
      <c r="G449" t="s">
        <v>1171</v>
      </c>
      <c r="H449" t="s">
        <v>1188</v>
      </c>
    </row>
    <row r="450" spans="1:9" x14ac:dyDescent="0.3">
      <c r="A450" t="s">
        <v>330</v>
      </c>
      <c r="B450" t="s">
        <v>563</v>
      </c>
      <c r="C450" t="s">
        <v>1052</v>
      </c>
      <c r="F450">
        <v>1289.79</v>
      </c>
      <c r="G450" t="s">
        <v>1176</v>
      </c>
      <c r="H450" t="s">
        <v>1178</v>
      </c>
      <c r="I450" t="s">
        <v>1185</v>
      </c>
    </row>
    <row r="451" spans="1:9" x14ac:dyDescent="0.3">
      <c r="B451" t="s">
        <v>564</v>
      </c>
      <c r="C451" t="s">
        <v>1053</v>
      </c>
      <c r="D451" s="1">
        <v>42053</v>
      </c>
      <c r="E451" t="s">
        <v>1164</v>
      </c>
      <c r="F451">
        <v>1004.56</v>
      </c>
      <c r="G451" t="s">
        <v>1173</v>
      </c>
      <c r="H451" t="s">
        <v>1197</v>
      </c>
      <c r="I451" t="s">
        <v>1177</v>
      </c>
    </row>
    <row r="452" spans="1:9" x14ac:dyDescent="0.3">
      <c r="A452" t="s">
        <v>565</v>
      </c>
      <c r="B452" t="s">
        <v>566</v>
      </c>
      <c r="C452" t="s">
        <v>1054</v>
      </c>
      <c r="D452" s="1">
        <v>43354</v>
      </c>
      <c r="E452" t="s">
        <v>1161</v>
      </c>
      <c r="F452">
        <v>1444.23</v>
      </c>
      <c r="G452" t="s">
        <v>1175</v>
      </c>
      <c r="H452" t="s">
        <v>1178</v>
      </c>
      <c r="I452" t="s">
        <v>1183</v>
      </c>
    </row>
    <row r="453" spans="1:9" x14ac:dyDescent="0.3">
      <c r="A453" t="s">
        <v>567</v>
      </c>
      <c r="B453" t="s">
        <v>347</v>
      </c>
      <c r="C453" t="s">
        <v>1055</v>
      </c>
      <c r="D453" s="1">
        <v>44433</v>
      </c>
      <c r="E453" t="s">
        <v>1169</v>
      </c>
      <c r="G453" t="s">
        <v>1174</v>
      </c>
      <c r="H453" t="s">
        <v>1200</v>
      </c>
    </row>
    <row r="454" spans="1:9" x14ac:dyDescent="0.3">
      <c r="A454" t="s">
        <v>225</v>
      </c>
      <c r="B454" t="s">
        <v>219</v>
      </c>
      <c r="C454" t="s">
        <v>1056</v>
      </c>
      <c r="D454" s="39">
        <v>43990</v>
      </c>
      <c r="E454" t="s">
        <v>1155</v>
      </c>
      <c r="G454" t="s">
        <v>1172</v>
      </c>
      <c r="H454" t="s">
        <v>1197</v>
      </c>
      <c r="I454" t="s">
        <v>1179</v>
      </c>
    </row>
    <row r="455" spans="1:9" x14ac:dyDescent="0.3">
      <c r="A455" t="s">
        <v>568</v>
      </c>
      <c r="B455" t="s">
        <v>569</v>
      </c>
      <c r="C455" t="s">
        <v>1057</v>
      </c>
      <c r="D455" s="39">
        <v>43345</v>
      </c>
      <c r="E455" t="s">
        <v>1159</v>
      </c>
      <c r="F455">
        <v>1857.16</v>
      </c>
      <c r="G455" t="s">
        <v>1173</v>
      </c>
      <c r="H455" t="s">
        <v>1191</v>
      </c>
      <c r="I455" t="s">
        <v>1179</v>
      </c>
    </row>
    <row r="456" spans="1:9" x14ac:dyDescent="0.3">
      <c r="A456" t="s">
        <v>249</v>
      </c>
      <c r="B456" t="s">
        <v>570</v>
      </c>
      <c r="C456" t="s">
        <v>1058</v>
      </c>
      <c r="D456" s="39">
        <v>44106</v>
      </c>
      <c r="E456" t="s">
        <v>1159</v>
      </c>
      <c r="F456">
        <v>1798.03</v>
      </c>
      <c r="G456" t="s">
        <v>1175</v>
      </c>
      <c r="H456" t="s">
        <v>1182</v>
      </c>
      <c r="I456" t="s">
        <v>1183</v>
      </c>
    </row>
    <row r="457" spans="1:9" x14ac:dyDescent="0.3">
      <c r="A457" t="s">
        <v>253</v>
      </c>
      <c r="B457" t="s">
        <v>571</v>
      </c>
      <c r="C457" t="s">
        <v>1059</v>
      </c>
      <c r="D457" s="39">
        <v>43122</v>
      </c>
      <c r="E457" t="s">
        <v>1161</v>
      </c>
      <c r="F457">
        <v>652.52</v>
      </c>
      <c r="G457" t="s">
        <v>1173</v>
      </c>
      <c r="H457" t="s">
        <v>1191</v>
      </c>
      <c r="I457" t="s">
        <v>1179</v>
      </c>
    </row>
    <row r="458" spans="1:9" x14ac:dyDescent="0.3">
      <c r="A458" t="s">
        <v>176</v>
      </c>
      <c r="B458" t="s">
        <v>572</v>
      </c>
      <c r="C458" t="s">
        <v>1060</v>
      </c>
      <c r="D458" s="39">
        <v>42726</v>
      </c>
      <c r="E458" t="s">
        <v>1156</v>
      </c>
      <c r="F458">
        <v>855.13</v>
      </c>
      <c r="G458" t="s">
        <v>1172</v>
      </c>
      <c r="H458" t="s">
        <v>1198</v>
      </c>
      <c r="I458" t="s">
        <v>1183</v>
      </c>
    </row>
    <row r="459" spans="1:9" x14ac:dyDescent="0.3">
      <c r="A459" t="s">
        <v>573</v>
      </c>
      <c r="B459" t="s">
        <v>574</v>
      </c>
      <c r="C459" t="s">
        <v>1061</v>
      </c>
      <c r="D459" s="39">
        <v>42777</v>
      </c>
      <c r="F459">
        <v>1944.89</v>
      </c>
      <c r="G459" t="s">
        <v>1173</v>
      </c>
      <c r="H459" t="s">
        <v>1194</v>
      </c>
      <c r="I459" t="s">
        <v>1196</v>
      </c>
    </row>
    <row r="460" spans="1:9" x14ac:dyDescent="0.3">
      <c r="A460" t="s">
        <v>32</v>
      </c>
      <c r="B460" t="s">
        <v>575</v>
      </c>
      <c r="C460" t="s">
        <v>1062</v>
      </c>
      <c r="D460" s="1">
        <v>42272</v>
      </c>
      <c r="E460" t="s">
        <v>1163</v>
      </c>
      <c r="G460" t="s">
        <v>1176</v>
      </c>
      <c r="H460" t="s">
        <v>1198</v>
      </c>
      <c r="I460" t="s">
        <v>1177</v>
      </c>
    </row>
    <row r="461" spans="1:9" x14ac:dyDescent="0.3">
      <c r="A461" t="s">
        <v>576</v>
      </c>
      <c r="B461" t="s">
        <v>133</v>
      </c>
      <c r="C461" t="s">
        <v>1063</v>
      </c>
      <c r="D461" s="1">
        <v>42037</v>
      </c>
      <c r="E461" t="s">
        <v>1164</v>
      </c>
      <c r="F461">
        <v>1103.28</v>
      </c>
      <c r="G461" t="s">
        <v>1174</v>
      </c>
      <c r="H461" t="s">
        <v>1192</v>
      </c>
      <c r="I461" t="s">
        <v>1180</v>
      </c>
    </row>
    <row r="462" spans="1:9" x14ac:dyDescent="0.3">
      <c r="A462" t="s">
        <v>577</v>
      </c>
      <c r="B462" t="s">
        <v>578</v>
      </c>
      <c r="C462" t="s">
        <v>1064</v>
      </c>
      <c r="D462" s="1">
        <v>43744</v>
      </c>
      <c r="E462" t="s">
        <v>1160</v>
      </c>
      <c r="F462">
        <v>1678.63</v>
      </c>
      <c r="G462" t="s">
        <v>1176</v>
      </c>
      <c r="H462" t="s">
        <v>1182</v>
      </c>
      <c r="I462" t="s">
        <v>1185</v>
      </c>
    </row>
    <row r="463" spans="1:9" x14ac:dyDescent="0.3">
      <c r="A463" t="s">
        <v>49</v>
      </c>
      <c r="B463" t="s">
        <v>579</v>
      </c>
      <c r="C463" s="6" t="s">
        <v>1065</v>
      </c>
      <c r="E463" t="s">
        <v>1152</v>
      </c>
      <c r="F463">
        <v>1579.57</v>
      </c>
      <c r="G463" t="s">
        <v>1172</v>
      </c>
      <c r="H463" t="s">
        <v>1192</v>
      </c>
      <c r="I463" t="s">
        <v>1180</v>
      </c>
    </row>
    <row r="464" spans="1:9" x14ac:dyDescent="0.3">
      <c r="A464" t="s">
        <v>439</v>
      </c>
      <c r="C464" s="6" t="s">
        <v>1066</v>
      </c>
      <c r="D464" s="1">
        <v>44341</v>
      </c>
      <c r="E464" t="s">
        <v>1155</v>
      </c>
      <c r="F464">
        <v>384.93</v>
      </c>
      <c r="H464" t="s">
        <v>1199</v>
      </c>
      <c r="I464" t="s">
        <v>1196</v>
      </c>
    </row>
    <row r="465" spans="1:9" x14ac:dyDescent="0.3">
      <c r="A465" t="s">
        <v>302</v>
      </c>
      <c r="B465" t="s">
        <v>521</v>
      </c>
      <c r="C465" s="6" t="s">
        <v>1067</v>
      </c>
      <c r="D465" s="1">
        <v>42328</v>
      </c>
      <c r="E465" t="s">
        <v>1162</v>
      </c>
      <c r="F465">
        <v>455.9</v>
      </c>
      <c r="G465" t="s">
        <v>1175</v>
      </c>
      <c r="H465" t="s">
        <v>1186</v>
      </c>
      <c r="I465" t="s">
        <v>1185</v>
      </c>
    </row>
    <row r="466" spans="1:9" x14ac:dyDescent="0.3">
      <c r="A466" t="s">
        <v>489</v>
      </c>
      <c r="B466" t="s">
        <v>580</v>
      </c>
      <c r="C466" s="6" t="s">
        <v>1068</v>
      </c>
      <c r="D466" s="1">
        <v>45326</v>
      </c>
      <c r="E466" t="s">
        <v>1167</v>
      </c>
      <c r="F466">
        <v>1743.85</v>
      </c>
      <c r="G466" t="s">
        <v>1171</v>
      </c>
      <c r="H466" t="s">
        <v>1193</v>
      </c>
      <c r="I466" t="s">
        <v>1180</v>
      </c>
    </row>
    <row r="467" spans="1:9" x14ac:dyDescent="0.3">
      <c r="A467" t="s">
        <v>18</v>
      </c>
      <c r="B467" t="s">
        <v>581</v>
      </c>
      <c r="C467" s="6" t="s">
        <v>1069</v>
      </c>
      <c r="D467" s="1">
        <v>44921</v>
      </c>
      <c r="E467" t="s">
        <v>1154</v>
      </c>
      <c r="F467">
        <v>1888.96</v>
      </c>
      <c r="H467" t="s">
        <v>1198</v>
      </c>
      <c r="I467" t="s">
        <v>1183</v>
      </c>
    </row>
    <row r="468" spans="1:9" x14ac:dyDescent="0.3">
      <c r="A468" t="s">
        <v>582</v>
      </c>
      <c r="B468" t="s">
        <v>583</v>
      </c>
      <c r="C468" s="6" t="s">
        <v>1070</v>
      </c>
      <c r="D468" s="1">
        <v>44922</v>
      </c>
      <c r="F468">
        <v>477.35</v>
      </c>
      <c r="G468" t="s">
        <v>1171</v>
      </c>
      <c r="H468" t="s">
        <v>1201</v>
      </c>
      <c r="I468" t="s">
        <v>1185</v>
      </c>
    </row>
    <row r="469" spans="1:9" x14ac:dyDescent="0.3">
      <c r="B469" t="s">
        <v>137</v>
      </c>
      <c r="C469" s="6" t="s">
        <v>1071</v>
      </c>
      <c r="D469" s="1">
        <v>44401</v>
      </c>
      <c r="E469" t="s">
        <v>1161</v>
      </c>
      <c r="F469">
        <v>378.32</v>
      </c>
      <c r="G469" t="s">
        <v>1176</v>
      </c>
      <c r="H469" t="s">
        <v>1181</v>
      </c>
      <c r="I469" t="s">
        <v>1177</v>
      </c>
    </row>
    <row r="470" spans="1:9" x14ac:dyDescent="0.3">
      <c r="A470" t="s">
        <v>324</v>
      </c>
      <c r="B470" t="s">
        <v>421</v>
      </c>
      <c r="C470" s="6" t="s">
        <v>1072</v>
      </c>
      <c r="D470" s="1">
        <v>41949</v>
      </c>
      <c r="F470">
        <v>1612.35</v>
      </c>
      <c r="G470" t="s">
        <v>1172</v>
      </c>
      <c r="H470" t="s">
        <v>1199</v>
      </c>
      <c r="I470" t="s">
        <v>1196</v>
      </c>
    </row>
    <row r="471" spans="1:9" x14ac:dyDescent="0.3">
      <c r="A471" t="s">
        <v>121</v>
      </c>
      <c r="B471" t="s">
        <v>584</v>
      </c>
      <c r="C471" s="6" t="s">
        <v>1073</v>
      </c>
      <c r="D471" s="1">
        <v>44537</v>
      </c>
      <c r="E471" t="s">
        <v>1155</v>
      </c>
      <c r="F471">
        <v>532.70000000000005</v>
      </c>
      <c r="H471" t="s">
        <v>1193</v>
      </c>
      <c r="I471" t="s">
        <v>1179</v>
      </c>
    </row>
    <row r="472" spans="1:9" x14ac:dyDescent="0.3">
      <c r="A472" t="s">
        <v>164</v>
      </c>
      <c r="B472" t="s">
        <v>585</v>
      </c>
      <c r="C472" s="6" t="s">
        <v>1074</v>
      </c>
      <c r="D472" s="1">
        <v>44806</v>
      </c>
      <c r="E472" t="s">
        <v>1164</v>
      </c>
      <c r="F472">
        <v>268.52</v>
      </c>
      <c r="G472" t="s">
        <v>1175</v>
      </c>
      <c r="H472" t="s">
        <v>1184</v>
      </c>
      <c r="I472" s="6" t="s">
        <v>1177</v>
      </c>
    </row>
    <row r="473" spans="1:9" x14ac:dyDescent="0.3">
      <c r="A473" t="s">
        <v>430</v>
      </c>
      <c r="B473" t="s">
        <v>581</v>
      </c>
      <c r="C473" s="6" t="s">
        <v>1075</v>
      </c>
      <c r="D473" s="1">
        <v>45213</v>
      </c>
      <c r="E473" t="s">
        <v>1164</v>
      </c>
      <c r="F473">
        <v>1178.76</v>
      </c>
      <c r="G473" t="s">
        <v>1174</v>
      </c>
      <c r="H473" t="s">
        <v>1186</v>
      </c>
      <c r="I473" s="6" t="s">
        <v>1179</v>
      </c>
    </row>
    <row r="474" spans="1:9" x14ac:dyDescent="0.3">
      <c r="A474" t="s">
        <v>586</v>
      </c>
      <c r="B474" t="s">
        <v>25</v>
      </c>
      <c r="C474" s="6" t="s">
        <v>1076</v>
      </c>
      <c r="D474" s="1">
        <v>43730</v>
      </c>
      <c r="E474" t="s">
        <v>1160</v>
      </c>
      <c r="F474">
        <v>598.1</v>
      </c>
      <c r="H474" t="s">
        <v>1202</v>
      </c>
      <c r="I474" s="6" t="s">
        <v>1177</v>
      </c>
    </row>
    <row r="475" spans="1:9" x14ac:dyDescent="0.3">
      <c r="A475" t="s">
        <v>587</v>
      </c>
      <c r="B475" t="s">
        <v>147</v>
      </c>
      <c r="C475" s="6" t="s">
        <v>1077</v>
      </c>
      <c r="D475" s="1">
        <v>42410</v>
      </c>
      <c r="E475" t="s">
        <v>1158</v>
      </c>
      <c r="G475" t="s">
        <v>1175</v>
      </c>
      <c r="H475" t="s">
        <v>1199</v>
      </c>
      <c r="I475" s="6" t="s">
        <v>1179</v>
      </c>
    </row>
    <row r="476" spans="1:9" x14ac:dyDescent="0.3">
      <c r="A476" t="s">
        <v>588</v>
      </c>
      <c r="B476" t="s">
        <v>589</v>
      </c>
      <c r="C476" t="s">
        <v>1078</v>
      </c>
      <c r="D476" s="39">
        <v>44160</v>
      </c>
      <c r="E476" t="s">
        <v>1154</v>
      </c>
      <c r="F476">
        <v>589.41</v>
      </c>
      <c r="G476" t="s">
        <v>1171</v>
      </c>
      <c r="H476" t="s">
        <v>1197</v>
      </c>
      <c r="I476" s="6" t="s">
        <v>1183</v>
      </c>
    </row>
    <row r="477" spans="1:9" x14ac:dyDescent="0.3">
      <c r="A477" t="s">
        <v>590</v>
      </c>
      <c r="B477" t="s">
        <v>44</v>
      </c>
      <c r="C477" t="s">
        <v>1079</v>
      </c>
      <c r="D477" s="39">
        <v>45352</v>
      </c>
      <c r="E477" t="s">
        <v>1166</v>
      </c>
      <c r="F477">
        <v>881.21</v>
      </c>
      <c r="G477" t="s">
        <v>1171</v>
      </c>
      <c r="H477" t="s">
        <v>1189</v>
      </c>
      <c r="I477" s="6" t="s">
        <v>1185</v>
      </c>
    </row>
    <row r="478" spans="1:9" x14ac:dyDescent="0.3">
      <c r="A478" t="s">
        <v>591</v>
      </c>
      <c r="B478" t="s">
        <v>592</v>
      </c>
      <c r="C478" t="s">
        <v>1080</v>
      </c>
      <c r="D478" s="39">
        <v>42617</v>
      </c>
      <c r="F478">
        <v>1455.34</v>
      </c>
      <c r="G478" t="s">
        <v>1174</v>
      </c>
      <c r="H478" t="s">
        <v>1186</v>
      </c>
      <c r="I478" s="6" t="s">
        <v>1177</v>
      </c>
    </row>
    <row r="479" spans="1:9" x14ac:dyDescent="0.3">
      <c r="A479" t="s">
        <v>593</v>
      </c>
      <c r="B479" t="s">
        <v>280</v>
      </c>
      <c r="C479" t="s">
        <v>1081</v>
      </c>
      <c r="D479" s="1">
        <v>44773</v>
      </c>
      <c r="E479" t="s">
        <v>1170</v>
      </c>
      <c r="F479">
        <v>1126.5999999999999</v>
      </c>
      <c r="G479" t="s">
        <v>1174</v>
      </c>
      <c r="H479" t="s">
        <v>1189</v>
      </c>
      <c r="I479" s="6" t="s">
        <v>1179</v>
      </c>
    </row>
    <row r="480" spans="1:9" x14ac:dyDescent="0.3">
      <c r="A480" t="s">
        <v>123</v>
      </c>
      <c r="C480" t="s">
        <v>1082</v>
      </c>
      <c r="E480" t="s">
        <v>1170</v>
      </c>
      <c r="F480">
        <v>952.15</v>
      </c>
      <c r="G480" t="s">
        <v>1172</v>
      </c>
      <c r="H480" t="s">
        <v>1182</v>
      </c>
      <c r="I480" s="6" t="s">
        <v>1179</v>
      </c>
    </row>
    <row r="481" spans="1:9" x14ac:dyDescent="0.3">
      <c r="A481" t="s">
        <v>172</v>
      </c>
      <c r="B481" t="s">
        <v>594</v>
      </c>
      <c r="C481" t="s">
        <v>1083</v>
      </c>
      <c r="D481" s="1">
        <v>43902</v>
      </c>
      <c r="E481" t="s">
        <v>1153</v>
      </c>
      <c r="F481">
        <v>1564.18</v>
      </c>
      <c r="G481" t="s">
        <v>1176</v>
      </c>
      <c r="H481" t="s">
        <v>1193</v>
      </c>
      <c r="I481" s="6" t="s">
        <v>1177</v>
      </c>
    </row>
    <row r="482" spans="1:9" x14ac:dyDescent="0.3">
      <c r="A482" t="s">
        <v>362</v>
      </c>
      <c r="B482" t="s">
        <v>93</v>
      </c>
      <c r="C482" t="s">
        <v>1084</v>
      </c>
      <c r="D482" s="1">
        <v>44254</v>
      </c>
      <c r="E482" t="s">
        <v>1154</v>
      </c>
      <c r="F482">
        <v>688.26</v>
      </c>
      <c r="G482" t="s">
        <v>1173</v>
      </c>
      <c r="H482" t="s">
        <v>1192</v>
      </c>
      <c r="I482" s="6" t="s">
        <v>1185</v>
      </c>
    </row>
    <row r="483" spans="1:9" x14ac:dyDescent="0.3">
      <c r="A483" t="s">
        <v>595</v>
      </c>
      <c r="B483" t="s">
        <v>596</v>
      </c>
      <c r="C483" t="s">
        <v>1085</v>
      </c>
      <c r="D483" s="1">
        <v>43931</v>
      </c>
      <c r="E483" t="s">
        <v>1166</v>
      </c>
      <c r="F483">
        <v>1603.93</v>
      </c>
      <c r="G483" t="s">
        <v>1174</v>
      </c>
      <c r="H483" t="s">
        <v>1190</v>
      </c>
      <c r="I483" s="6" t="s">
        <v>1183</v>
      </c>
    </row>
    <row r="484" spans="1:9" x14ac:dyDescent="0.3">
      <c r="A484" t="s">
        <v>284</v>
      </c>
      <c r="B484" t="s">
        <v>597</v>
      </c>
      <c r="C484" t="s">
        <v>1086</v>
      </c>
      <c r="D484" s="1">
        <v>45050</v>
      </c>
      <c r="F484">
        <v>1717.19</v>
      </c>
      <c r="H484" t="s">
        <v>1195</v>
      </c>
      <c r="I484" t="s">
        <v>1185</v>
      </c>
    </row>
    <row r="485" spans="1:9" x14ac:dyDescent="0.3">
      <c r="A485" t="s">
        <v>598</v>
      </c>
      <c r="B485" t="s">
        <v>179</v>
      </c>
      <c r="C485" t="s">
        <v>1087</v>
      </c>
      <c r="E485" t="s">
        <v>1160</v>
      </c>
      <c r="F485">
        <v>928.57</v>
      </c>
      <c r="G485" t="s">
        <v>1175</v>
      </c>
      <c r="H485" t="s">
        <v>1187</v>
      </c>
      <c r="I485" t="s">
        <v>1196</v>
      </c>
    </row>
    <row r="486" spans="1:9" x14ac:dyDescent="0.3">
      <c r="A486" t="s">
        <v>599</v>
      </c>
      <c r="B486" t="s">
        <v>600</v>
      </c>
      <c r="C486" t="s">
        <v>1088</v>
      </c>
      <c r="D486" s="1">
        <v>42620</v>
      </c>
      <c r="E486" t="s">
        <v>1160</v>
      </c>
      <c r="F486">
        <v>709.01</v>
      </c>
      <c r="G486" t="s">
        <v>1171</v>
      </c>
      <c r="H486" s="7" t="s">
        <v>1191</v>
      </c>
      <c r="I486" t="s">
        <v>1185</v>
      </c>
    </row>
    <row r="487" spans="1:9" x14ac:dyDescent="0.3">
      <c r="A487" t="s">
        <v>601</v>
      </c>
      <c r="B487" t="s">
        <v>139</v>
      </c>
      <c r="C487" t="s">
        <v>1089</v>
      </c>
      <c r="D487" s="1">
        <v>44055</v>
      </c>
      <c r="E487" t="s">
        <v>1158</v>
      </c>
      <c r="F487">
        <v>746.51</v>
      </c>
      <c r="G487" t="s">
        <v>1171</v>
      </c>
      <c r="H487" s="7" t="s">
        <v>1201</v>
      </c>
      <c r="I487" t="s">
        <v>1180</v>
      </c>
    </row>
    <row r="488" spans="1:9" x14ac:dyDescent="0.3">
      <c r="A488" t="s">
        <v>350</v>
      </c>
      <c r="B488" t="s">
        <v>47</v>
      </c>
      <c r="C488" t="s">
        <v>1090</v>
      </c>
      <c r="D488" s="1">
        <v>42527</v>
      </c>
      <c r="E488" t="s">
        <v>1164</v>
      </c>
      <c r="G488" t="s">
        <v>1174</v>
      </c>
      <c r="H488" s="7" t="s">
        <v>1181</v>
      </c>
      <c r="I488" t="s">
        <v>1180</v>
      </c>
    </row>
    <row r="489" spans="1:9" x14ac:dyDescent="0.3">
      <c r="A489" t="s">
        <v>66</v>
      </c>
      <c r="B489" t="s">
        <v>436</v>
      </c>
      <c r="C489" t="s">
        <v>1091</v>
      </c>
      <c r="D489" s="1">
        <v>44026</v>
      </c>
      <c r="E489" t="s">
        <v>1162</v>
      </c>
      <c r="F489">
        <v>362.61</v>
      </c>
      <c r="G489" t="s">
        <v>1175</v>
      </c>
      <c r="H489" s="7" t="s">
        <v>1191</v>
      </c>
      <c r="I489" t="s">
        <v>1180</v>
      </c>
    </row>
    <row r="490" spans="1:9" x14ac:dyDescent="0.3">
      <c r="A490" t="s">
        <v>602</v>
      </c>
      <c r="B490" t="s">
        <v>603</v>
      </c>
      <c r="C490" t="s">
        <v>1092</v>
      </c>
      <c r="D490" s="1">
        <v>45439</v>
      </c>
      <c r="E490" t="s">
        <v>1167</v>
      </c>
      <c r="F490">
        <v>518.33000000000004</v>
      </c>
      <c r="G490" t="s">
        <v>1175</v>
      </c>
      <c r="H490" s="7" t="s">
        <v>1201</v>
      </c>
    </row>
    <row r="491" spans="1:9" x14ac:dyDescent="0.3">
      <c r="A491" t="s">
        <v>51</v>
      </c>
      <c r="B491" t="s">
        <v>604</v>
      </c>
      <c r="C491" t="s">
        <v>1093</v>
      </c>
      <c r="D491" s="1">
        <v>44688</v>
      </c>
      <c r="E491" t="s">
        <v>1157</v>
      </c>
      <c r="F491">
        <v>152.33000000000001</v>
      </c>
      <c r="G491" t="s">
        <v>1175</v>
      </c>
      <c r="H491" s="7" t="s">
        <v>1184</v>
      </c>
      <c r="I491" t="s">
        <v>1183</v>
      </c>
    </row>
    <row r="492" spans="1:9" x14ac:dyDescent="0.3">
      <c r="A492" t="s">
        <v>255</v>
      </c>
      <c r="B492" t="s">
        <v>605</v>
      </c>
      <c r="C492" t="s">
        <v>1094</v>
      </c>
      <c r="D492" s="1">
        <v>44689</v>
      </c>
      <c r="E492" t="s">
        <v>1157</v>
      </c>
      <c r="F492">
        <v>1170.6500000000001</v>
      </c>
      <c r="G492" t="s">
        <v>1172</v>
      </c>
      <c r="H492" s="7" t="s">
        <v>1198</v>
      </c>
      <c r="I492" t="s">
        <v>1196</v>
      </c>
    </row>
    <row r="493" spans="1:9" x14ac:dyDescent="0.3">
      <c r="A493" t="s">
        <v>606</v>
      </c>
      <c r="B493" t="s">
        <v>440</v>
      </c>
      <c r="C493" t="s">
        <v>1095</v>
      </c>
      <c r="D493" s="1">
        <v>44690</v>
      </c>
      <c r="E493" t="s">
        <v>1159</v>
      </c>
      <c r="F493">
        <v>89.3</v>
      </c>
      <c r="G493" t="s">
        <v>1172</v>
      </c>
      <c r="H493" s="7" t="s">
        <v>1197</v>
      </c>
      <c r="I493" t="s">
        <v>1196</v>
      </c>
    </row>
    <row r="494" spans="1:9" x14ac:dyDescent="0.3">
      <c r="A494" t="s">
        <v>607</v>
      </c>
      <c r="B494" t="s">
        <v>608</v>
      </c>
      <c r="C494" t="s">
        <v>1096</v>
      </c>
      <c r="D494" s="1">
        <v>44691</v>
      </c>
      <c r="E494" t="s">
        <v>1156</v>
      </c>
      <c r="F494">
        <v>467.96</v>
      </c>
      <c r="H494" s="7" t="s">
        <v>1194</v>
      </c>
    </row>
    <row r="495" spans="1:9" x14ac:dyDescent="0.3">
      <c r="A495" t="s">
        <v>591</v>
      </c>
      <c r="B495" t="s">
        <v>27</v>
      </c>
      <c r="C495" t="s">
        <v>1097</v>
      </c>
      <c r="D495" s="1">
        <v>42400</v>
      </c>
      <c r="E495" t="s">
        <v>1157</v>
      </c>
      <c r="F495">
        <v>1021.11</v>
      </c>
      <c r="G495" t="s">
        <v>1175</v>
      </c>
      <c r="H495" s="7" t="s">
        <v>1187</v>
      </c>
      <c r="I495" s="3" t="s">
        <v>1179</v>
      </c>
    </row>
    <row r="496" spans="1:9" x14ac:dyDescent="0.3">
      <c r="A496" t="s">
        <v>478</v>
      </c>
      <c r="B496" t="s">
        <v>513</v>
      </c>
      <c r="C496" t="s">
        <v>1098</v>
      </c>
      <c r="D496" s="1">
        <v>43221</v>
      </c>
      <c r="E496" t="s">
        <v>1165</v>
      </c>
      <c r="F496">
        <v>1474.24</v>
      </c>
      <c r="G496" t="s">
        <v>1175</v>
      </c>
      <c r="I496" s="3" t="s">
        <v>1179</v>
      </c>
    </row>
    <row r="497" spans="1:9" x14ac:dyDescent="0.3">
      <c r="A497" t="s">
        <v>180</v>
      </c>
      <c r="B497" t="s">
        <v>609</v>
      </c>
      <c r="C497" t="s">
        <v>1099</v>
      </c>
      <c r="D497" s="40">
        <v>42840</v>
      </c>
      <c r="E497" t="s">
        <v>1156</v>
      </c>
      <c r="F497">
        <v>945.11</v>
      </c>
      <c r="G497" t="s">
        <v>1171</v>
      </c>
      <c r="H497" t="s">
        <v>1182</v>
      </c>
      <c r="I497" s="3"/>
    </row>
    <row r="498" spans="1:9" x14ac:dyDescent="0.3">
      <c r="A498" t="s">
        <v>24</v>
      </c>
      <c r="B498" t="s">
        <v>610</v>
      </c>
      <c r="C498" t="s">
        <v>1100</v>
      </c>
      <c r="D498" s="40">
        <v>42841</v>
      </c>
      <c r="E498" t="s">
        <v>1167</v>
      </c>
      <c r="F498">
        <v>1415.47</v>
      </c>
      <c r="G498" t="s">
        <v>1175</v>
      </c>
      <c r="H498" t="s">
        <v>1186</v>
      </c>
      <c r="I498" s="3" t="s">
        <v>1177</v>
      </c>
    </row>
    <row r="499" spans="1:9" x14ac:dyDescent="0.3">
      <c r="A499" t="s">
        <v>166</v>
      </c>
      <c r="B499" t="s">
        <v>383</v>
      </c>
      <c r="C499" t="s">
        <v>1101</v>
      </c>
      <c r="D499" s="40">
        <v>44100</v>
      </c>
      <c r="E499" t="s">
        <v>1154</v>
      </c>
      <c r="F499">
        <v>1518.69</v>
      </c>
      <c r="G499" t="s">
        <v>1173</v>
      </c>
      <c r="I499" s="3" t="s">
        <v>1179</v>
      </c>
    </row>
    <row r="500" spans="1:9" x14ac:dyDescent="0.3">
      <c r="A500" t="s">
        <v>555</v>
      </c>
      <c r="C500" t="s">
        <v>1102</v>
      </c>
      <c r="D500" s="40">
        <v>43580</v>
      </c>
      <c r="E500" t="s">
        <v>1158</v>
      </c>
      <c r="F500">
        <v>523.09</v>
      </c>
      <c r="G500" t="s">
        <v>1171</v>
      </c>
      <c r="H500" t="s">
        <v>1192</v>
      </c>
      <c r="I500" s="3" t="s">
        <v>1177</v>
      </c>
    </row>
    <row r="501" spans="1:9" x14ac:dyDescent="0.3">
      <c r="A501" t="s">
        <v>63</v>
      </c>
      <c r="B501" t="s">
        <v>611</v>
      </c>
      <c r="C501" t="s">
        <v>1103</v>
      </c>
      <c r="D501" s="1">
        <v>42022</v>
      </c>
      <c r="E501" t="s">
        <v>1153</v>
      </c>
      <c r="F501">
        <v>420.84</v>
      </c>
      <c r="G501" t="s">
        <v>1172</v>
      </c>
      <c r="H501" t="s">
        <v>1182</v>
      </c>
      <c r="I501" s="3" t="s">
        <v>1179</v>
      </c>
    </row>
    <row r="502" spans="1:9" x14ac:dyDescent="0.3">
      <c r="A502" t="s">
        <v>234</v>
      </c>
      <c r="B502" t="s">
        <v>169</v>
      </c>
      <c r="C502" t="s">
        <v>1104</v>
      </c>
      <c r="D502" s="1">
        <v>44870</v>
      </c>
      <c r="E502" t="s">
        <v>1162</v>
      </c>
      <c r="F502">
        <v>1649.47</v>
      </c>
      <c r="G502" t="s">
        <v>1176</v>
      </c>
      <c r="H502" t="s">
        <v>1201</v>
      </c>
      <c r="I502" s="3" t="s">
        <v>1180</v>
      </c>
    </row>
    <row r="503" spans="1:9" x14ac:dyDescent="0.3">
      <c r="A503" t="s">
        <v>444</v>
      </c>
      <c r="B503" t="s">
        <v>496</v>
      </c>
      <c r="C503" t="s">
        <v>1105</v>
      </c>
      <c r="D503" s="1">
        <v>44951</v>
      </c>
      <c r="E503" t="s">
        <v>1162</v>
      </c>
      <c r="F503">
        <v>346.24</v>
      </c>
      <c r="G503" t="s">
        <v>1171</v>
      </c>
      <c r="H503" t="s">
        <v>1191</v>
      </c>
      <c r="I503" t="s">
        <v>1179</v>
      </c>
    </row>
    <row r="504" spans="1:9" x14ac:dyDescent="0.3">
      <c r="A504" t="s">
        <v>157</v>
      </c>
      <c r="B504" t="s">
        <v>612</v>
      </c>
      <c r="C504" t="s">
        <v>1106</v>
      </c>
      <c r="D504" s="1">
        <v>42180</v>
      </c>
      <c r="E504" t="s">
        <v>1169</v>
      </c>
      <c r="F504">
        <v>1305.5899999999999</v>
      </c>
      <c r="G504" t="s">
        <v>1172</v>
      </c>
      <c r="H504" t="s">
        <v>1191</v>
      </c>
      <c r="I504" t="s">
        <v>1196</v>
      </c>
    </row>
    <row r="505" spans="1:9" x14ac:dyDescent="0.3">
      <c r="A505" t="s">
        <v>555</v>
      </c>
      <c r="B505" t="s">
        <v>613</v>
      </c>
      <c r="C505" t="s">
        <v>1107</v>
      </c>
      <c r="D505" s="1">
        <v>42700</v>
      </c>
      <c r="E505" t="s">
        <v>1151</v>
      </c>
      <c r="F505">
        <v>1174.22</v>
      </c>
      <c r="G505" t="s">
        <v>1174</v>
      </c>
      <c r="H505" t="s">
        <v>1182</v>
      </c>
      <c r="I505" t="s">
        <v>1179</v>
      </c>
    </row>
    <row r="506" spans="1:9" x14ac:dyDescent="0.3">
      <c r="A506" t="s">
        <v>614</v>
      </c>
      <c r="B506" t="s">
        <v>615</v>
      </c>
      <c r="C506" t="s">
        <v>1108</v>
      </c>
      <c r="D506" s="1">
        <v>42701</v>
      </c>
      <c r="F506">
        <v>1250.4000000000001</v>
      </c>
      <c r="H506" t="s">
        <v>1190</v>
      </c>
      <c r="I506" t="s">
        <v>1180</v>
      </c>
    </row>
    <row r="507" spans="1:9" x14ac:dyDescent="0.3">
      <c r="A507" t="s">
        <v>444</v>
      </c>
      <c r="B507" t="s">
        <v>446</v>
      </c>
      <c r="C507" t="s">
        <v>1109</v>
      </c>
      <c r="D507" s="1">
        <v>43996</v>
      </c>
      <c r="E507" t="s">
        <v>1163</v>
      </c>
      <c r="F507">
        <v>151.72999999999999</v>
      </c>
      <c r="G507" t="s">
        <v>1175</v>
      </c>
      <c r="H507" t="s">
        <v>1186</v>
      </c>
      <c r="I507" t="s">
        <v>1177</v>
      </c>
    </row>
    <row r="508" spans="1:9" x14ac:dyDescent="0.3">
      <c r="A508" t="s">
        <v>49</v>
      </c>
      <c r="B508" t="s">
        <v>50</v>
      </c>
      <c r="C508" t="s">
        <v>1110</v>
      </c>
      <c r="D508" s="1">
        <v>44469</v>
      </c>
      <c r="E508" t="s">
        <v>1152</v>
      </c>
      <c r="F508">
        <v>975.2</v>
      </c>
      <c r="G508" t="s">
        <v>1172</v>
      </c>
      <c r="I508" t="s">
        <v>1196</v>
      </c>
    </row>
    <row r="509" spans="1:9" x14ac:dyDescent="0.3">
      <c r="A509" t="s">
        <v>30</v>
      </c>
      <c r="B509" t="s">
        <v>354</v>
      </c>
      <c r="C509" t="s">
        <v>1111</v>
      </c>
      <c r="E509" t="s">
        <v>1157</v>
      </c>
      <c r="F509">
        <v>789.39</v>
      </c>
      <c r="G509" t="s">
        <v>1176</v>
      </c>
      <c r="H509" t="s">
        <v>1186</v>
      </c>
      <c r="I509" t="s">
        <v>1196</v>
      </c>
    </row>
    <row r="510" spans="1:9" x14ac:dyDescent="0.3">
      <c r="A510" t="s">
        <v>18</v>
      </c>
      <c r="B510" t="s">
        <v>581</v>
      </c>
      <c r="C510" t="s">
        <v>1112</v>
      </c>
      <c r="D510" s="1">
        <v>44921</v>
      </c>
      <c r="E510" t="s">
        <v>1159</v>
      </c>
      <c r="F510">
        <v>743.28</v>
      </c>
      <c r="G510" t="s">
        <v>1172</v>
      </c>
      <c r="H510" t="s">
        <v>1200</v>
      </c>
      <c r="I510" t="s">
        <v>1179</v>
      </c>
    </row>
    <row r="511" spans="1:9" x14ac:dyDescent="0.3">
      <c r="A511" t="s">
        <v>34</v>
      </c>
      <c r="B511" t="s">
        <v>245</v>
      </c>
      <c r="C511" t="s">
        <v>1113</v>
      </c>
      <c r="D511" s="1">
        <v>44922</v>
      </c>
      <c r="E511" t="s">
        <v>1163</v>
      </c>
      <c r="F511">
        <v>1488.39</v>
      </c>
      <c r="G511" t="s">
        <v>1176</v>
      </c>
      <c r="H511" t="s">
        <v>1191</v>
      </c>
      <c r="I511" t="s">
        <v>1177</v>
      </c>
    </row>
    <row r="512" spans="1:9" x14ac:dyDescent="0.3">
      <c r="A512" t="s">
        <v>472</v>
      </c>
      <c r="B512" t="s">
        <v>473</v>
      </c>
      <c r="C512" t="s">
        <v>1114</v>
      </c>
      <c r="D512" s="1">
        <v>44923</v>
      </c>
      <c r="E512" t="s">
        <v>1155</v>
      </c>
      <c r="F512">
        <v>1090.97</v>
      </c>
      <c r="G512" t="s">
        <v>1175</v>
      </c>
      <c r="H512" t="s">
        <v>1191</v>
      </c>
      <c r="I512" s="3" t="s">
        <v>1196</v>
      </c>
    </row>
    <row r="513" spans="1:9" x14ac:dyDescent="0.3">
      <c r="A513" t="s">
        <v>104</v>
      </c>
      <c r="B513" t="s">
        <v>147</v>
      </c>
      <c r="C513" t="s">
        <v>1115</v>
      </c>
      <c r="D513" s="1">
        <v>44924</v>
      </c>
      <c r="F513">
        <v>888.95</v>
      </c>
      <c r="G513" t="s">
        <v>1175</v>
      </c>
      <c r="H513" t="s">
        <v>1198</v>
      </c>
      <c r="I513" s="3" t="s">
        <v>1177</v>
      </c>
    </row>
    <row r="514" spans="1:9" x14ac:dyDescent="0.3">
      <c r="A514" t="s">
        <v>75</v>
      </c>
      <c r="B514" t="s">
        <v>93</v>
      </c>
      <c r="C514" t="s">
        <v>1116</v>
      </c>
      <c r="D514" s="1">
        <v>44265</v>
      </c>
      <c r="E514" t="s">
        <v>1154</v>
      </c>
      <c r="F514">
        <v>1322.76</v>
      </c>
      <c r="G514" t="s">
        <v>1174</v>
      </c>
      <c r="H514" t="s">
        <v>1199</v>
      </c>
      <c r="I514" s="3" t="s">
        <v>1183</v>
      </c>
    </row>
    <row r="515" spans="1:9" x14ac:dyDescent="0.3">
      <c r="A515" t="s">
        <v>369</v>
      </c>
      <c r="B515" t="s">
        <v>394</v>
      </c>
      <c r="C515" t="s">
        <v>1117</v>
      </c>
      <c r="D515" s="1">
        <v>44266</v>
      </c>
      <c r="E515" t="s">
        <v>1154</v>
      </c>
      <c r="F515">
        <v>1179.6099999999999</v>
      </c>
      <c r="G515" t="s">
        <v>1175</v>
      </c>
      <c r="H515" t="s">
        <v>1201</v>
      </c>
      <c r="I515" s="3" t="s">
        <v>1179</v>
      </c>
    </row>
    <row r="516" spans="1:9" x14ac:dyDescent="0.3">
      <c r="A516" t="s">
        <v>200</v>
      </c>
      <c r="B516" t="s">
        <v>231</v>
      </c>
      <c r="C516" t="s">
        <v>1118</v>
      </c>
      <c r="D516" s="1">
        <v>41963</v>
      </c>
      <c r="E516" t="s">
        <v>1156</v>
      </c>
      <c r="F516">
        <v>76.31</v>
      </c>
      <c r="G516" t="s">
        <v>1172</v>
      </c>
      <c r="H516" t="s">
        <v>1193</v>
      </c>
      <c r="I516" s="3" t="s">
        <v>1196</v>
      </c>
    </row>
    <row r="517" spans="1:9" x14ac:dyDescent="0.3">
      <c r="A517" t="s">
        <v>588</v>
      </c>
      <c r="B517" t="s">
        <v>589</v>
      </c>
      <c r="C517" t="s">
        <v>1119</v>
      </c>
      <c r="D517" s="1">
        <v>41888</v>
      </c>
      <c r="E517" t="s">
        <v>1164</v>
      </c>
      <c r="F517">
        <v>825.71</v>
      </c>
      <c r="G517" t="s">
        <v>1175</v>
      </c>
      <c r="H517" t="s">
        <v>1198</v>
      </c>
      <c r="I517" s="3" t="s">
        <v>1179</v>
      </c>
    </row>
    <row r="518" spans="1:9" x14ac:dyDescent="0.3">
      <c r="A518" t="s">
        <v>590</v>
      </c>
      <c r="B518" t="s">
        <v>44</v>
      </c>
      <c r="C518" t="s">
        <v>1120</v>
      </c>
      <c r="D518" s="1">
        <v>44796</v>
      </c>
      <c r="E518" t="s">
        <v>1168</v>
      </c>
      <c r="H518" t="s">
        <v>1181</v>
      </c>
      <c r="I518" t="s">
        <v>1179</v>
      </c>
    </row>
    <row r="519" spans="1:9" x14ac:dyDescent="0.3">
      <c r="A519" t="s">
        <v>591</v>
      </c>
      <c r="B519" t="s">
        <v>592</v>
      </c>
      <c r="C519" t="s">
        <v>1121</v>
      </c>
      <c r="D519" s="39">
        <v>43011</v>
      </c>
      <c r="F519">
        <v>1908.93</v>
      </c>
      <c r="G519" t="s">
        <v>1176</v>
      </c>
      <c r="H519" t="s">
        <v>1195</v>
      </c>
      <c r="I519" t="s">
        <v>1183</v>
      </c>
    </row>
    <row r="520" spans="1:9" x14ac:dyDescent="0.3">
      <c r="A520" t="s">
        <v>593</v>
      </c>
      <c r="B520" t="s">
        <v>280</v>
      </c>
      <c r="C520" t="s">
        <v>1122</v>
      </c>
      <c r="D520" s="39">
        <v>44647</v>
      </c>
      <c r="E520" t="s">
        <v>1154</v>
      </c>
      <c r="F520">
        <v>1583.24</v>
      </c>
      <c r="G520" t="s">
        <v>1176</v>
      </c>
      <c r="H520" t="s">
        <v>1186</v>
      </c>
      <c r="I520" t="s">
        <v>1196</v>
      </c>
    </row>
    <row r="521" spans="1:9" x14ac:dyDescent="0.3">
      <c r="A521" t="s">
        <v>123</v>
      </c>
      <c r="C521" t="s">
        <v>1123</v>
      </c>
      <c r="D521" s="39">
        <v>42379</v>
      </c>
      <c r="E521" t="s">
        <v>1157</v>
      </c>
      <c r="F521">
        <v>1274.48</v>
      </c>
    </row>
    <row r="522" spans="1:9" x14ac:dyDescent="0.3">
      <c r="A522" t="s">
        <v>172</v>
      </c>
      <c r="B522" t="s">
        <v>594</v>
      </c>
      <c r="C522" t="s">
        <v>1124</v>
      </c>
      <c r="D522" s="39">
        <v>42380</v>
      </c>
      <c r="E522" t="s">
        <v>1151</v>
      </c>
      <c r="F522">
        <v>1543.51</v>
      </c>
      <c r="I522" t="s">
        <v>1183</v>
      </c>
    </row>
    <row r="523" spans="1:9" x14ac:dyDescent="0.3">
      <c r="A523" t="s">
        <v>362</v>
      </c>
      <c r="B523" t="s">
        <v>93</v>
      </c>
      <c r="C523" t="s">
        <v>1125</v>
      </c>
      <c r="D523" s="39">
        <v>43016</v>
      </c>
      <c r="E523" t="s">
        <v>1166</v>
      </c>
      <c r="F523">
        <v>242.89</v>
      </c>
      <c r="G523" t="s">
        <v>1172</v>
      </c>
      <c r="H523" t="s">
        <v>1199</v>
      </c>
      <c r="I523" t="s">
        <v>1180</v>
      </c>
    </row>
    <row r="524" spans="1:9" x14ac:dyDescent="0.3">
      <c r="A524" t="s">
        <v>595</v>
      </c>
      <c r="B524" t="s">
        <v>596</v>
      </c>
      <c r="C524" t="s">
        <v>1126</v>
      </c>
      <c r="D524" s="39">
        <v>42482</v>
      </c>
      <c r="F524">
        <v>1522.95</v>
      </c>
      <c r="H524" t="s">
        <v>1192</v>
      </c>
      <c r="I524" t="s">
        <v>1179</v>
      </c>
    </row>
    <row r="525" spans="1:9" x14ac:dyDescent="0.3">
      <c r="A525" t="s">
        <v>284</v>
      </c>
      <c r="B525" t="s">
        <v>597</v>
      </c>
      <c r="C525" t="s">
        <v>1127</v>
      </c>
      <c r="D525" s="1">
        <v>42857</v>
      </c>
      <c r="F525">
        <v>1027.48</v>
      </c>
      <c r="G525" t="s">
        <v>1171</v>
      </c>
      <c r="H525" t="s">
        <v>1184</v>
      </c>
      <c r="I525" t="s">
        <v>1179</v>
      </c>
    </row>
    <row r="526" spans="1:9" x14ac:dyDescent="0.3">
      <c r="A526" t="s">
        <v>598</v>
      </c>
      <c r="B526" t="s">
        <v>179</v>
      </c>
      <c r="C526" t="s">
        <v>1128</v>
      </c>
      <c r="D526" s="1">
        <v>42858</v>
      </c>
      <c r="E526" s="3" t="s">
        <v>1169</v>
      </c>
      <c r="F526">
        <v>1472.94</v>
      </c>
      <c r="G526" t="s">
        <v>1172</v>
      </c>
      <c r="H526" t="s">
        <v>1188</v>
      </c>
      <c r="I526" t="s">
        <v>1180</v>
      </c>
    </row>
    <row r="527" spans="1:9" x14ac:dyDescent="0.3">
      <c r="A527" s="3" t="s">
        <v>599</v>
      </c>
      <c r="B527" t="s">
        <v>600</v>
      </c>
      <c r="C527" t="s">
        <v>1129</v>
      </c>
      <c r="D527" s="1">
        <v>42852</v>
      </c>
      <c r="E527" s="3" t="s">
        <v>1153</v>
      </c>
      <c r="F527">
        <v>1591.43</v>
      </c>
      <c r="H527" t="s">
        <v>1187</v>
      </c>
      <c r="I527" t="s">
        <v>1177</v>
      </c>
    </row>
    <row r="528" spans="1:9" x14ac:dyDescent="0.3">
      <c r="A528" s="3" t="s">
        <v>601</v>
      </c>
      <c r="B528" t="s">
        <v>139</v>
      </c>
      <c r="C528" t="s">
        <v>1130</v>
      </c>
      <c r="D528" s="1">
        <v>42853</v>
      </c>
      <c r="E528" s="3" t="s">
        <v>1167</v>
      </c>
      <c r="F528">
        <v>395.5</v>
      </c>
      <c r="G528" s="4" t="s">
        <v>1171</v>
      </c>
      <c r="H528" t="s">
        <v>1188</v>
      </c>
      <c r="I528" t="s">
        <v>1179</v>
      </c>
    </row>
    <row r="529" spans="1:9" x14ac:dyDescent="0.3">
      <c r="A529" s="3" t="s">
        <v>350</v>
      </c>
      <c r="B529" t="s">
        <v>47</v>
      </c>
      <c r="C529" s="7" t="s">
        <v>1131</v>
      </c>
      <c r="D529" s="1">
        <v>44735</v>
      </c>
      <c r="E529" s="3" t="s">
        <v>1164</v>
      </c>
      <c r="F529">
        <v>1376.16</v>
      </c>
      <c r="G529" s="4" t="s">
        <v>1175</v>
      </c>
      <c r="H529" t="s">
        <v>1201</v>
      </c>
      <c r="I529" t="s">
        <v>1183</v>
      </c>
    </row>
    <row r="530" spans="1:9" x14ac:dyDescent="0.3">
      <c r="A530" s="3" t="s">
        <v>66</v>
      </c>
      <c r="B530" t="s">
        <v>436</v>
      </c>
      <c r="C530" s="7" t="s">
        <v>1132</v>
      </c>
      <c r="D530" s="1">
        <v>44570</v>
      </c>
      <c r="E530" s="3" t="s">
        <v>1158</v>
      </c>
      <c r="F530">
        <v>576.57000000000005</v>
      </c>
      <c r="G530" s="4" t="s">
        <v>1175</v>
      </c>
      <c r="H530" t="s">
        <v>1199</v>
      </c>
      <c r="I530" t="s">
        <v>1177</v>
      </c>
    </row>
    <row r="531" spans="1:9" x14ac:dyDescent="0.3">
      <c r="A531" s="3" t="s">
        <v>602</v>
      </c>
      <c r="B531" t="s">
        <v>603</v>
      </c>
      <c r="C531" s="7" t="s">
        <v>1133</v>
      </c>
      <c r="D531" s="1">
        <v>43887</v>
      </c>
      <c r="E531" s="3" t="s">
        <v>1152</v>
      </c>
      <c r="F531">
        <v>159.91</v>
      </c>
      <c r="G531" s="4" t="s">
        <v>1175</v>
      </c>
      <c r="H531" t="s">
        <v>1195</v>
      </c>
      <c r="I531" t="s">
        <v>1185</v>
      </c>
    </row>
    <row r="532" spans="1:9" x14ac:dyDescent="0.3">
      <c r="A532" s="3" t="s">
        <v>51</v>
      </c>
      <c r="B532" t="s">
        <v>604</v>
      </c>
      <c r="C532" s="7" t="s">
        <v>1134</v>
      </c>
      <c r="D532" s="1">
        <v>43888</v>
      </c>
      <c r="E532" t="s">
        <v>1154</v>
      </c>
      <c r="F532">
        <v>116.71</v>
      </c>
      <c r="G532" s="4" t="s">
        <v>1171</v>
      </c>
      <c r="I532" t="s">
        <v>1180</v>
      </c>
    </row>
    <row r="533" spans="1:9" x14ac:dyDescent="0.3">
      <c r="A533" t="s">
        <v>255</v>
      </c>
      <c r="B533" t="s">
        <v>605</v>
      </c>
      <c r="C533" s="7" t="s">
        <v>1135</v>
      </c>
      <c r="D533" s="1">
        <v>43644</v>
      </c>
      <c r="F533">
        <v>1540.21</v>
      </c>
      <c r="G533" s="4" t="s">
        <v>1173</v>
      </c>
      <c r="H533" t="s">
        <v>1200</v>
      </c>
      <c r="I533" t="s">
        <v>1185</v>
      </c>
    </row>
    <row r="534" spans="1:9" x14ac:dyDescent="0.3">
      <c r="A534" t="s">
        <v>606</v>
      </c>
      <c r="B534" t="s">
        <v>440</v>
      </c>
      <c r="C534" s="7" t="s">
        <v>1136</v>
      </c>
      <c r="D534" s="1">
        <v>43645</v>
      </c>
      <c r="E534" t="s">
        <v>1156</v>
      </c>
      <c r="F534">
        <v>537.16999999999996</v>
      </c>
      <c r="G534" s="4" t="s">
        <v>1175</v>
      </c>
      <c r="H534" t="s">
        <v>1184</v>
      </c>
      <c r="I534" t="s">
        <v>1180</v>
      </c>
    </row>
    <row r="535" spans="1:9" x14ac:dyDescent="0.3">
      <c r="A535" t="s">
        <v>607</v>
      </c>
      <c r="B535" t="s">
        <v>608</v>
      </c>
      <c r="C535" s="7" t="s">
        <v>1137</v>
      </c>
      <c r="D535" s="1">
        <v>42822</v>
      </c>
      <c r="E535" t="s">
        <v>1169</v>
      </c>
      <c r="F535">
        <v>369.61</v>
      </c>
      <c r="G535" s="4" t="s">
        <v>1171</v>
      </c>
      <c r="H535" t="s">
        <v>1191</v>
      </c>
    </row>
    <row r="536" spans="1:9" x14ac:dyDescent="0.3">
      <c r="A536" t="s">
        <v>591</v>
      </c>
      <c r="B536" t="s">
        <v>27</v>
      </c>
      <c r="C536" s="7" t="s">
        <v>1138</v>
      </c>
      <c r="D536" s="1">
        <v>42823</v>
      </c>
      <c r="E536" t="s">
        <v>1151</v>
      </c>
      <c r="F536">
        <v>416.26</v>
      </c>
      <c r="G536" s="4" t="s">
        <v>1175</v>
      </c>
      <c r="H536" t="s">
        <v>1195</v>
      </c>
      <c r="I536" t="s">
        <v>1196</v>
      </c>
    </row>
    <row r="537" spans="1:9" x14ac:dyDescent="0.3">
      <c r="A537" t="s">
        <v>478</v>
      </c>
      <c r="B537" t="s">
        <v>513</v>
      </c>
      <c r="C537" s="7" t="s">
        <v>1139</v>
      </c>
      <c r="D537" s="1">
        <v>45226</v>
      </c>
      <c r="E537" t="s">
        <v>1161</v>
      </c>
      <c r="F537">
        <v>1365.67</v>
      </c>
      <c r="H537" t="s">
        <v>1189</v>
      </c>
      <c r="I537" t="s">
        <v>1183</v>
      </c>
    </row>
    <row r="538" spans="1:9" x14ac:dyDescent="0.3">
      <c r="A538" t="s">
        <v>180</v>
      </c>
      <c r="B538" t="s">
        <v>609</v>
      </c>
      <c r="C538" s="7" t="s">
        <v>1140</v>
      </c>
      <c r="D538" s="1">
        <v>43074</v>
      </c>
      <c r="E538" t="s">
        <v>1165</v>
      </c>
      <c r="G538" t="s">
        <v>1175</v>
      </c>
      <c r="H538" t="s">
        <v>1193</v>
      </c>
      <c r="I538" t="s">
        <v>1196</v>
      </c>
    </row>
    <row r="539" spans="1:9" x14ac:dyDescent="0.3">
      <c r="A539" t="s">
        <v>24</v>
      </c>
      <c r="B539" t="s">
        <v>610</v>
      </c>
      <c r="C539" s="7" t="s">
        <v>1141</v>
      </c>
      <c r="D539" s="1">
        <v>43075</v>
      </c>
      <c r="E539" t="s">
        <v>1170</v>
      </c>
      <c r="F539">
        <v>1477.06</v>
      </c>
      <c r="G539" t="s">
        <v>1171</v>
      </c>
      <c r="H539" t="s">
        <v>1192</v>
      </c>
      <c r="I539" t="s">
        <v>1177</v>
      </c>
    </row>
    <row r="540" spans="1:9" x14ac:dyDescent="0.3">
      <c r="A540" t="s">
        <v>166</v>
      </c>
      <c r="B540" t="s">
        <v>383</v>
      </c>
      <c r="C540" s="7" t="s">
        <v>1142</v>
      </c>
      <c r="D540" s="1">
        <v>42760</v>
      </c>
      <c r="E540" t="s">
        <v>1160</v>
      </c>
      <c r="F540">
        <v>1740.47</v>
      </c>
      <c r="G540" t="s">
        <v>1172</v>
      </c>
      <c r="H540" t="s">
        <v>1192</v>
      </c>
      <c r="I540" t="s">
        <v>1196</v>
      </c>
    </row>
    <row r="541" spans="1:9" x14ac:dyDescent="0.3">
      <c r="A541" t="s">
        <v>555</v>
      </c>
      <c r="C541" t="s">
        <v>1143</v>
      </c>
      <c r="D541" s="1">
        <v>42197</v>
      </c>
      <c r="E541" t="s">
        <v>1152</v>
      </c>
      <c r="F541">
        <v>129.97</v>
      </c>
      <c r="G541" t="s">
        <v>1171</v>
      </c>
      <c r="H541" t="s">
        <v>1195</v>
      </c>
      <c r="I541" t="s">
        <v>1179</v>
      </c>
    </row>
    <row r="542" spans="1:9" x14ac:dyDescent="0.3">
      <c r="A542" t="s">
        <v>63</v>
      </c>
      <c r="B542" t="s">
        <v>611</v>
      </c>
      <c r="C542" t="s">
        <v>1144</v>
      </c>
      <c r="D542" s="1">
        <v>44685</v>
      </c>
      <c r="E542" t="s">
        <v>1152</v>
      </c>
      <c r="F542">
        <v>174.16</v>
      </c>
      <c r="G542" t="s">
        <v>1172</v>
      </c>
      <c r="H542" t="s">
        <v>1200</v>
      </c>
      <c r="I542" t="s">
        <v>1180</v>
      </c>
    </row>
    <row r="543" spans="1:9" x14ac:dyDescent="0.3">
      <c r="A543" t="s">
        <v>234</v>
      </c>
      <c r="B543" t="s">
        <v>169</v>
      </c>
      <c r="C543" t="s">
        <v>1145</v>
      </c>
      <c r="D543" s="1">
        <v>44611</v>
      </c>
      <c r="E543" t="s">
        <v>1170</v>
      </c>
      <c r="F543">
        <v>863.13</v>
      </c>
      <c r="G543" t="s">
        <v>1172</v>
      </c>
      <c r="H543" t="s">
        <v>1189</v>
      </c>
      <c r="I543" t="s">
        <v>1180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235B5-DCEB-4F25-9C4E-43F81343E7F9}">
  <dimension ref="A3:H23"/>
  <sheetViews>
    <sheetView workbookViewId="0">
      <selection activeCell="S92" sqref="S92"/>
    </sheetView>
  </sheetViews>
  <sheetFormatPr defaultRowHeight="14.4" x14ac:dyDescent="0.3"/>
  <cols>
    <col min="1" max="1" width="12.5546875" bestFit="1" customWidth="1"/>
    <col min="2" max="2" width="18.6640625" bestFit="1" customWidth="1"/>
    <col min="3" max="3" width="16.109375" bestFit="1" customWidth="1"/>
    <col min="7" max="7" width="12.6640625" bestFit="1" customWidth="1"/>
  </cols>
  <sheetData>
    <row r="3" spans="1:2" x14ac:dyDescent="0.3">
      <c r="A3" s="53" t="s">
        <v>1487</v>
      </c>
      <c r="B3" t="s">
        <v>1489</v>
      </c>
    </row>
    <row r="4" spans="1:2" x14ac:dyDescent="0.3">
      <c r="A4" s="5">
        <v>2014</v>
      </c>
      <c r="B4" s="50">
        <v>4661.5200000000004</v>
      </c>
    </row>
    <row r="5" spans="1:2" x14ac:dyDescent="0.3">
      <c r="A5" s="6">
        <v>8</v>
      </c>
      <c r="B5" s="50">
        <v>1320.34</v>
      </c>
    </row>
    <row r="6" spans="1:2" x14ac:dyDescent="0.3">
      <c r="A6" s="6">
        <v>9</v>
      </c>
      <c r="B6" s="50">
        <v>2232.84</v>
      </c>
    </row>
    <row r="7" spans="1:2" x14ac:dyDescent="0.3">
      <c r="A7" s="6">
        <v>10</v>
      </c>
      <c r="B7" s="50">
        <v>510.37</v>
      </c>
    </row>
    <row r="8" spans="1:2" x14ac:dyDescent="0.3">
      <c r="A8" s="6">
        <v>11</v>
      </c>
      <c r="B8" s="50">
        <v>597.97</v>
      </c>
    </row>
    <row r="9" spans="1:2" x14ac:dyDescent="0.3">
      <c r="A9" s="5" t="s">
        <v>1488</v>
      </c>
      <c r="B9" s="50">
        <v>4661.5200000000004</v>
      </c>
    </row>
    <row r="23" spans="7:8" x14ac:dyDescent="0.3">
      <c r="G23" t="s">
        <v>1493</v>
      </c>
      <c r="H23">
        <f>GETPIVOTDATA("Amount Paid",$A$3)</f>
        <v>4661.5200000000004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7D45F-DD2B-4E57-A0B8-A59436E281E6}">
  <dimension ref="A3:N26"/>
  <sheetViews>
    <sheetView workbookViewId="0">
      <selection activeCell="M9" sqref="M9"/>
    </sheetView>
  </sheetViews>
  <sheetFormatPr defaultRowHeight="14.4" x14ac:dyDescent="0.3"/>
  <cols>
    <col min="1" max="1" width="12.5546875" bestFit="1" customWidth="1"/>
    <col min="2" max="2" width="16.109375" bestFit="1" customWidth="1"/>
    <col min="13" max="13" width="35.109375" bestFit="1" customWidth="1"/>
    <col min="14" max="14" width="21.77734375" bestFit="1" customWidth="1"/>
  </cols>
  <sheetData>
    <row r="3" spans="1:2" x14ac:dyDescent="0.3">
      <c r="A3" s="53" t="s">
        <v>1487</v>
      </c>
      <c r="B3" t="s">
        <v>1492</v>
      </c>
    </row>
    <row r="4" spans="1:2" x14ac:dyDescent="0.3">
      <c r="A4" s="5">
        <v>2014</v>
      </c>
      <c r="B4" s="66">
        <v>7</v>
      </c>
    </row>
    <row r="5" spans="1:2" x14ac:dyDescent="0.3">
      <c r="A5" s="6">
        <v>8</v>
      </c>
      <c r="B5" s="66">
        <v>1</v>
      </c>
    </row>
    <row r="6" spans="1:2" x14ac:dyDescent="0.3">
      <c r="A6" s="6">
        <v>9</v>
      </c>
      <c r="B6" s="66">
        <v>3</v>
      </c>
    </row>
    <row r="7" spans="1:2" x14ac:dyDescent="0.3">
      <c r="A7" s="6">
        <v>10</v>
      </c>
      <c r="B7" s="66">
        <v>1</v>
      </c>
    </row>
    <row r="8" spans="1:2" x14ac:dyDescent="0.3">
      <c r="A8" s="6">
        <v>11</v>
      </c>
      <c r="B8" s="66">
        <v>2</v>
      </c>
    </row>
    <row r="9" spans="1:2" x14ac:dyDescent="0.3">
      <c r="A9" s="5" t="s">
        <v>1488</v>
      </c>
      <c r="B9" s="66">
        <v>7</v>
      </c>
    </row>
    <row r="21" spans="4:14" ht="28.8" x14ac:dyDescent="0.55000000000000004">
      <c r="M21" s="60" t="s">
        <v>1493</v>
      </c>
      <c r="N21" s="61">
        <f>Sales!$H$23</f>
        <v>4661.5200000000004</v>
      </c>
    </row>
    <row r="22" spans="4:14" ht="28.8" x14ac:dyDescent="0.55000000000000004">
      <c r="M22" s="60" t="s">
        <v>1494</v>
      </c>
      <c r="N22" s="62">
        <f>GETPIVOTDATA("order I'D",$A$3)</f>
        <v>7</v>
      </c>
    </row>
    <row r="23" spans="4:14" ht="28.8" x14ac:dyDescent="0.55000000000000004">
      <c r="D23">
        <f>Sales!$H$23</f>
        <v>4661.5200000000004</v>
      </c>
      <c r="M23" s="60" t="s">
        <v>1498</v>
      </c>
      <c r="N23" s="61">
        <f>D23/GETPIVOTDATA("order I'D",$A$3)</f>
        <v>665.93142857142868</v>
      </c>
    </row>
    <row r="24" spans="4:14" ht="28.8" x14ac:dyDescent="0.55000000000000004">
      <c r="M24" s="60" t="s">
        <v>1499</v>
      </c>
      <c r="N24" s="63">
        <f>'Payment Status'!$O$25</f>
        <v>0.41152027664796037</v>
      </c>
    </row>
    <row r="25" spans="4:14" ht="28.8" x14ac:dyDescent="0.55000000000000004">
      <c r="M25" s="60" t="s">
        <v>1500</v>
      </c>
      <c r="N25" s="63">
        <f>'Delivary Status'!$Q$15</f>
        <v>0.42857142857142855</v>
      </c>
    </row>
    <row r="26" spans="4:14" ht="28.8" x14ac:dyDescent="0.55000000000000004">
      <c r="M26" s="60" t="s">
        <v>1502</v>
      </c>
      <c r="N26" s="64">
        <f>'Payment Status'!$O$13</f>
        <v>0.5884797233520398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5A262-C6B2-44D3-B1E0-91B89F4B7581}">
  <dimension ref="A3:O26"/>
  <sheetViews>
    <sheetView topLeftCell="A7" workbookViewId="0">
      <selection activeCell="O13" sqref="O13"/>
    </sheetView>
  </sheetViews>
  <sheetFormatPr defaultRowHeight="14.4" x14ac:dyDescent="0.3"/>
  <cols>
    <col min="1" max="1" width="12.5546875" bestFit="1" customWidth="1"/>
    <col min="2" max="2" width="18.6640625" bestFit="1" customWidth="1"/>
    <col min="3" max="3" width="16.109375" bestFit="1" customWidth="1"/>
    <col min="14" max="14" width="19.21875" bestFit="1" customWidth="1"/>
  </cols>
  <sheetData>
    <row r="3" spans="1:15" x14ac:dyDescent="0.3">
      <c r="A3" s="53" t="s">
        <v>1487</v>
      </c>
      <c r="B3" t="s">
        <v>1489</v>
      </c>
      <c r="C3" t="s">
        <v>1492</v>
      </c>
    </row>
    <row r="4" spans="1:15" x14ac:dyDescent="0.3">
      <c r="A4" s="5" t="s">
        <v>1174</v>
      </c>
      <c r="B4" s="50">
        <v>1918.31</v>
      </c>
      <c r="C4" s="66">
        <v>3</v>
      </c>
    </row>
    <row r="5" spans="1:15" x14ac:dyDescent="0.3">
      <c r="A5" s="5" t="s">
        <v>1171</v>
      </c>
      <c r="B5" s="50">
        <v>2743.21</v>
      </c>
      <c r="C5" s="66">
        <v>4</v>
      </c>
    </row>
    <row r="6" spans="1:15" x14ac:dyDescent="0.3">
      <c r="A6" s="5" t="s">
        <v>1488</v>
      </c>
      <c r="B6" s="50">
        <v>4661.5199999999995</v>
      </c>
      <c r="C6" s="66">
        <v>7</v>
      </c>
    </row>
    <row r="13" spans="1:15" x14ac:dyDescent="0.3">
      <c r="N13" t="s">
        <v>1501</v>
      </c>
      <c r="O13" s="54">
        <f>GETPIVOTDATA("Sum of Amount Paid",$A$3,"Payment Status","Pending")/GETPIVOTDATA("Sum of Amount Paid",$A$3)</f>
        <v>0.5884797233520398</v>
      </c>
    </row>
    <row r="25" spans="14:15" x14ac:dyDescent="0.3">
      <c r="N25" t="s">
        <v>1495</v>
      </c>
      <c r="O25" s="54">
        <f>GETPIVOTDATA("Sum of Amount Paid",$A$3,"Payment Status","Paid")/GETPIVOTDATA("Sum of Amount Paid",$A$3)</f>
        <v>0.41152027664796037</v>
      </c>
    </row>
    <row r="26" spans="14:15" x14ac:dyDescent="0.3">
      <c r="N26" t="s">
        <v>1496</v>
      </c>
      <c r="O26" s="54" t="e">
        <f>GETPIVOTDATA("Sum of Amount Paid",$A$3,"Payment Status","Failed")/GETPIVOTDATA("Sum of Amount Paid",$A$3)</f>
        <v>#REF!</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67226-6870-4699-B8A8-F9B565B51203}">
  <dimension ref="A3:Q15"/>
  <sheetViews>
    <sheetView workbookViewId="0">
      <selection activeCell="S92" sqref="S92"/>
    </sheetView>
  </sheetViews>
  <sheetFormatPr defaultRowHeight="14.4" x14ac:dyDescent="0.3"/>
  <cols>
    <col min="1" max="1" width="12.5546875" bestFit="1" customWidth="1"/>
    <col min="2" max="2" width="16.109375" bestFit="1" customWidth="1"/>
    <col min="16" max="16" width="18.6640625" bestFit="1" customWidth="1"/>
  </cols>
  <sheetData>
    <row r="3" spans="1:17" x14ac:dyDescent="0.3">
      <c r="A3" s="53" t="s">
        <v>1487</v>
      </c>
      <c r="B3" t="s">
        <v>1492</v>
      </c>
    </row>
    <row r="4" spans="1:17" x14ac:dyDescent="0.3">
      <c r="A4" s="5" t="s">
        <v>1185</v>
      </c>
      <c r="B4" s="66">
        <v>2</v>
      </c>
    </row>
    <row r="5" spans="1:17" x14ac:dyDescent="0.3">
      <c r="A5" s="5" t="s">
        <v>1179</v>
      </c>
      <c r="B5" s="66">
        <v>3</v>
      </c>
    </row>
    <row r="6" spans="1:17" x14ac:dyDescent="0.3">
      <c r="A6" s="5" t="s">
        <v>1255</v>
      </c>
      <c r="B6" s="66">
        <v>2</v>
      </c>
    </row>
    <row r="7" spans="1:17" x14ac:dyDescent="0.3">
      <c r="A7" s="5" t="s">
        <v>1488</v>
      </c>
      <c r="B7" s="66">
        <v>7</v>
      </c>
    </row>
    <row r="15" spans="1:17" x14ac:dyDescent="0.3">
      <c r="P15" t="s">
        <v>1497</v>
      </c>
      <c r="Q15" s="54">
        <f>GETPIVOTDATA("order I'D",$A$3,"Delivery Status","Delivered")/GETPIVOTDATA("order I'D",$A$3)</f>
        <v>0.42857142857142855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0D2F5-4CA2-4411-B8EF-E7635470C645}">
  <dimension ref="A3:C9"/>
  <sheetViews>
    <sheetView workbookViewId="0">
      <selection activeCell="S92" sqref="S92"/>
    </sheetView>
  </sheetViews>
  <sheetFormatPr defaultRowHeight="14.4" x14ac:dyDescent="0.3"/>
  <cols>
    <col min="1" max="1" width="12.5546875" bestFit="1" customWidth="1"/>
    <col min="2" max="2" width="16.109375" bestFit="1" customWidth="1"/>
    <col min="3" max="3" width="18.6640625" bestFit="1" customWidth="1"/>
  </cols>
  <sheetData>
    <row r="3" spans="1:3" x14ac:dyDescent="0.3">
      <c r="A3" s="53" t="s">
        <v>1487</v>
      </c>
      <c r="B3" t="s">
        <v>1492</v>
      </c>
      <c r="C3" t="s">
        <v>1489</v>
      </c>
    </row>
    <row r="4" spans="1:3" x14ac:dyDescent="0.3">
      <c r="A4" s="5" t="s">
        <v>1169</v>
      </c>
      <c r="B4" s="66">
        <v>1</v>
      </c>
      <c r="C4" s="50">
        <v>738.76</v>
      </c>
    </row>
    <row r="5" spans="1:3" x14ac:dyDescent="0.3">
      <c r="A5" s="5" t="s">
        <v>1155</v>
      </c>
      <c r="B5" s="66">
        <v>1</v>
      </c>
      <c r="C5" s="50">
        <v>668.37</v>
      </c>
    </row>
    <row r="6" spans="1:3" x14ac:dyDescent="0.3">
      <c r="A6" s="5" t="s">
        <v>1170</v>
      </c>
      <c r="B6" s="66">
        <v>1</v>
      </c>
      <c r="C6" s="50">
        <v>1320.34</v>
      </c>
    </row>
    <row r="7" spans="1:3" x14ac:dyDescent="0.3">
      <c r="A7" s="5" t="s">
        <v>1163</v>
      </c>
      <c r="B7" s="66">
        <v>1</v>
      </c>
      <c r="C7" s="50">
        <v>76.31</v>
      </c>
    </row>
    <row r="8" spans="1:3" x14ac:dyDescent="0.3">
      <c r="A8" s="5" t="s">
        <v>1164</v>
      </c>
      <c r="B8" s="66">
        <v>3</v>
      </c>
      <c r="C8" s="50">
        <v>1857.7399999999998</v>
      </c>
    </row>
    <row r="9" spans="1:3" x14ac:dyDescent="0.3">
      <c r="A9" s="5" t="s">
        <v>1488</v>
      </c>
      <c r="B9" s="66">
        <v>7</v>
      </c>
      <c r="C9" s="50">
        <v>4661.5200000000004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80FF9-80A9-42C5-BFFA-63FAD6579536}">
  <dimension ref="A3:C10"/>
  <sheetViews>
    <sheetView workbookViewId="0">
      <selection activeCell="L25" sqref="L25"/>
    </sheetView>
  </sheetViews>
  <sheetFormatPr defaultRowHeight="14.4" x14ac:dyDescent="0.3"/>
  <cols>
    <col min="1" max="1" width="12.5546875" bestFit="1" customWidth="1"/>
    <col min="2" max="2" width="16.109375" bestFit="1" customWidth="1"/>
    <col min="3" max="3" width="18.6640625" bestFit="1" customWidth="1"/>
  </cols>
  <sheetData>
    <row r="3" spans="1:3" x14ac:dyDescent="0.3">
      <c r="A3" s="53" t="s">
        <v>1487</v>
      </c>
      <c r="B3" t="s">
        <v>1492</v>
      </c>
      <c r="C3" t="s">
        <v>1489</v>
      </c>
    </row>
    <row r="4" spans="1:3" x14ac:dyDescent="0.3">
      <c r="A4" s="5" t="s">
        <v>1195</v>
      </c>
      <c r="B4" s="66">
        <v>1</v>
      </c>
      <c r="C4" s="50">
        <v>76.31</v>
      </c>
    </row>
    <row r="5" spans="1:3" x14ac:dyDescent="0.3">
      <c r="A5" s="5" t="s">
        <v>1198</v>
      </c>
      <c r="B5" s="66">
        <v>1</v>
      </c>
      <c r="C5" s="50">
        <v>825.71</v>
      </c>
    </row>
    <row r="6" spans="1:3" x14ac:dyDescent="0.3">
      <c r="A6" s="5" t="s">
        <v>1178</v>
      </c>
      <c r="B6" s="66">
        <v>1</v>
      </c>
      <c r="C6" s="50">
        <v>510.37</v>
      </c>
    </row>
    <row r="7" spans="1:3" x14ac:dyDescent="0.3">
      <c r="A7" s="5" t="s">
        <v>1189</v>
      </c>
      <c r="B7" s="66">
        <v>1</v>
      </c>
      <c r="C7" s="50">
        <v>521.66</v>
      </c>
    </row>
    <row r="8" spans="1:3" x14ac:dyDescent="0.3">
      <c r="A8" s="5" t="s">
        <v>1181</v>
      </c>
      <c r="B8" s="66">
        <v>2</v>
      </c>
      <c r="C8" s="50">
        <v>1988.71</v>
      </c>
    </row>
    <row r="9" spans="1:3" x14ac:dyDescent="0.3">
      <c r="A9" s="5" t="s">
        <v>1202</v>
      </c>
      <c r="B9" s="66">
        <v>1</v>
      </c>
      <c r="C9" s="50">
        <v>738.76</v>
      </c>
    </row>
    <row r="10" spans="1:3" x14ac:dyDescent="0.3">
      <c r="A10" s="5" t="s">
        <v>1488</v>
      </c>
      <c r="B10" s="66">
        <v>7</v>
      </c>
      <c r="C10" s="50">
        <v>4661.5199999999995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E840C-9167-46C6-8F25-61117AD8821B}">
  <sheetPr codeName="Sheet3">
    <tabColor rgb="FF00B050"/>
  </sheetPr>
  <dimension ref="A1:J245"/>
  <sheetViews>
    <sheetView topLeftCell="A223" zoomScale="107" zoomScaleNormal="107" workbookViewId="0">
      <selection activeCell="C230" sqref="C230"/>
    </sheetView>
  </sheetViews>
  <sheetFormatPr defaultRowHeight="14.4" x14ac:dyDescent="0.3"/>
  <cols>
    <col min="1" max="1" width="20.21875" bestFit="1" customWidth="1"/>
    <col min="2" max="2" width="16.77734375" bestFit="1" customWidth="1"/>
    <col min="3" max="3" width="18.33203125" bestFit="1" customWidth="1"/>
    <col min="4" max="4" width="20.44140625" customWidth="1"/>
    <col min="5" max="5" width="19.21875" style="50" bestFit="1" customWidth="1"/>
    <col min="6" max="6" width="23.21875" bestFit="1" customWidth="1"/>
    <col min="7" max="7" width="17.5546875" bestFit="1" customWidth="1"/>
    <col min="8" max="8" width="20.21875" bestFit="1" customWidth="1"/>
    <col min="9" max="9" width="11.44140625" bestFit="1" customWidth="1"/>
    <col min="10" max="10" width="20" bestFit="1" customWidth="1"/>
  </cols>
  <sheetData>
    <row r="1" spans="1:10" ht="15.6" x14ac:dyDescent="0.3">
      <c r="A1" s="46" t="s">
        <v>1484</v>
      </c>
      <c r="B1" s="46" t="s">
        <v>1485</v>
      </c>
      <c r="C1" s="46" t="s">
        <v>1491</v>
      </c>
      <c r="D1" s="46" t="s">
        <v>1490</v>
      </c>
      <c r="E1" s="51" t="s">
        <v>1486</v>
      </c>
      <c r="F1" s="46" t="s">
        <v>1146</v>
      </c>
      <c r="G1" s="48" t="s">
        <v>1147</v>
      </c>
      <c r="H1" s="46" t="s">
        <v>1148</v>
      </c>
      <c r="I1" s="46" t="s">
        <v>1149</v>
      </c>
      <c r="J1" s="46" t="s">
        <v>1150</v>
      </c>
    </row>
    <row r="2" spans="1:10" ht="15.6" x14ac:dyDescent="0.3">
      <c r="A2" s="47" t="s">
        <v>1406</v>
      </c>
      <c r="B2" s="47" t="s">
        <v>958</v>
      </c>
      <c r="C2" s="47">
        <f>YEAR(E2)</f>
        <v>2014</v>
      </c>
      <c r="D2" s="47">
        <f>MONTH(Table2[[#This Row],[Purchase Date]])</f>
        <v>8</v>
      </c>
      <c r="E2" s="52">
        <v>41868</v>
      </c>
      <c r="F2" s="47" t="s">
        <v>1170</v>
      </c>
      <c r="G2" s="49">
        <v>1320.34</v>
      </c>
      <c r="H2" s="47" t="s">
        <v>1174</v>
      </c>
      <c r="I2" s="47" t="s">
        <v>1181</v>
      </c>
      <c r="J2" s="47" t="s">
        <v>1179</v>
      </c>
    </row>
    <row r="3" spans="1:10" ht="15.6" x14ac:dyDescent="0.3">
      <c r="A3" s="47" t="s">
        <v>1258</v>
      </c>
      <c r="B3" s="47" t="s">
        <v>617</v>
      </c>
      <c r="C3" s="47">
        <f t="shared" ref="C3:C66" si="0">YEAR(E3)</f>
        <v>2014</v>
      </c>
      <c r="D3" s="47">
        <f>MONTH(Table2[[#This Row],[Purchase Date]])</f>
        <v>9</v>
      </c>
      <c r="E3" s="52">
        <v>41888</v>
      </c>
      <c r="F3" s="47" t="s">
        <v>1169</v>
      </c>
      <c r="G3" s="49">
        <v>738.76</v>
      </c>
      <c r="H3" s="47" t="s">
        <v>1171</v>
      </c>
      <c r="I3" s="47" t="s">
        <v>1202</v>
      </c>
      <c r="J3" s="47" t="s">
        <v>1255</v>
      </c>
    </row>
    <row r="4" spans="1:10" ht="15.6" x14ac:dyDescent="0.3">
      <c r="A4" s="47" t="s">
        <v>1461</v>
      </c>
      <c r="B4" s="47" t="s">
        <v>1119</v>
      </c>
      <c r="C4" s="47">
        <f t="shared" si="0"/>
        <v>2014</v>
      </c>
      <c r="D4" s="47">
        <f>MONTH(Table2[[#This Row],[Purchase Date]])</f>
        <v>9</v>
      </c>
      <c r="E4" s="52">
        <v>41888</v>
      </c>
      <c r="F4" s="47" t="s">
        <v>1164</v>
      </c>
      <c r="G4" s="49">
        <v>825.71</v>
      </c>
      <c r="H4" s="47" t="s">
        <v>1171</v>
      </c>
      <c r="I4" s="47" t="s">
        <v>1198</v>
      </c>
      <c r="J4" s="47" t="s">
        <v>1179</v>
      </c>
    </row>
    <row r="5" spans="1:10" ht="15.6" x14ac:dyDescent="0.3">
      <c r="A5" s="47" t="s">
        <v>1355</v>
      </c>
      <c r="B5" s="47" t="s">
        <v>857</v>
      </c>
      <c r="C5" s="47">
        <f t="shared" si="0"/>
        <v>2014</v>
      </c>
      <c r="D5" s="47">
        <f>MONTH(Table2[[#This Row],[Purchase Date]])</f>
        <v>9</v>
      </c>
      <c r="E5" s="52">
        <v>41889</v>
      </c>
      <c r="F5" s="47" t="s">
        <v>1155</v>
      </c>
      <c r="G5" s="49">
        <v>668.37</v>
      </c>
      <c r="H5" s="47" t="s">
        <v>1171</v>
      </c>
      <c r="I5" s="47" t="s">
        <v>1181</v>
      </c>
      <c r="J5" s="47" t="s">
        <v>1185</v>
      </c>
    </row>
    <row r="6" spans="1:10" ht="15.6" x14ac:dyDescent="0.3">
      <c r="A6" s="47" t="s">
        <v>1375</v>
      </c>
      <c r="B6" s="47" t="s">
        <v>902</v>
      </c>
      <c r="C6" s="47">
        <f t="shared" si="0"/>
        <v>2014</v>
      </c>
      <c r="D6" s="47">
        <f>MONTH(Table2[[#This Row],[Purchase Date]])</f>
        <v>10</v>
      </c>
      <c r="E6" s="52">
        <v>41917</v>
      </c>
      <c r="F6" s="47" t="s">
        <v>1164</v>
      </c>
      <c r="G6" s="49">
        <v>510.37</v>
      </c>
      <c r="H6" s="47" t="s">
        <v>1171</v>
      </c>
      <c r="I6" s="47" t="s">
        <v>1178</v>
      </c>
      <c r="J6" s="47" t="s">
        <v>1255</v>
      </c>
    </row>
    <row r="7" spans="1:10" ht="15.6" x14ac:dyDescent="0.3">
      <c r="A7" s="47" t="s">
        <v>1479</v>
      </c>
      <c r="B7" s="47" t="s">
        <v>1118</v>
      </c>
      <c r="C7" s="47">
        <f t="shared" si="0"/>
        <v>2014</v>
      </c>
      <c r="D7" s="47">
        <f>MONTH(Table2[[#This Row],[Purchase Date]])</f>
        <v>11</v>
      </c>
      <c r="E7" s="52">
        <v>41963</v>
      </c>
      <c r="F7" s="47" t="s">
        <v>1163</v>
      </c>
      <c r="G7" s="49">
        <v>76.31</v>
      </c>
      <c r="H7" s="47" t="s">
        <v>1174</v>
      </c>
      <c r="I7" s="47" t="s">
        <v>1195</v>
      </c>
      <c r="J7" s="47" t="s">
        <v>1185</v>
      </c>
    </row>
    <row r="8" spans="1:10" ht="15.6" x14ac:dyDescent="0.3">
      <c r="A8" s="47" t="s">
        <v>1444</v>
      </c>
      <c r="B8" s="47" t="s">
        <v>1040</v>
      </c>
      <c r="C8" s="47">
        <f t="shared" si="0"/>
        <v>2014</v>
      </c>
      <c r="D8" s="47">
        <f>MONTH(Table2[[#This Row],[Purchase Date]])</f>
        <v>11</v>
      </c>
      <c r="E8" s="52">
        <v>41969</v>
      </c>
      <c r="F8" s="47" t="s">
        <v>1164</v>
      </c>
      <c r="G8" s="49">
        <v>521.66</v>
      </c>
      <c r="H8" s="47" t="s">
        <v>1174</v>
      </c>
      <c r="I8" s="47" t="s">
        <v>1189</v>
      </c>
      <c r="J8" s="47" t="s">
        <v>1179</v>
      </c>
    </row>
    <row r="9" spans="1:10" ht="15.6" x14ac:dyDescent="0.3">
      <c r="A9" s="47" t="s">
        <v>1474</v>
      </c>
      <c r="B9" s="47" t="s">
        <v>1103</v>
      </c>
      <c r="C9" s="47">
        <f t="shared" si="0"/>
        <v>2015</v>
      </c>
      <c r="D9" s="47">
        <f>MONTH(Table2[[#This Row],[Purchase Date]])</f>
        <v>1</v>
      </c>
      <c r="E9" s="52">
        <v>42022</v>
      </c>
      <c r="F9" s="47" t="s">
        <v>1164</v>
      </c>
      <c r="G9" s="49">
        <v>420.84</v>
      </c>
      <c r="H9" s="47" t="s">
        <v>1174</v>
      </c>
      <c r="I9" s="47" t="s">
        <v>1198</v>
      </c>
      <c r="J9" s="47" t="s">
        <v>1179</v>
      </c>
    </row>
    <row r="10" spans="1:10" ht="15.6" x14ac:dyDescent="0.3">
      <c r="A10" s="47" t="s">
        <v>1455</v>
      </c>
      <c r="B10" s="47" t="s">
        <v>1063</v>
      </c>
      <c r="C10" s="47">
        <f t="shared" si="0"/>
        <v>2015</v>
      </c>
      <c r="D10" s="47">
        <f>MONTH(Table2[[#This Row],[Purchase Date]])</f>
        <v>2</v>
      </c>
      <c r="E10" s="52">
        <v>42037</v>
      </c>
      <c r="F10" s="47" t="s">
        <v>1164</v>
      </c>
      <c r="G10" s="49">
        <v>1103.28</v>
      </c>
      <c r="H10" s="47" t="s">
        <v>1174</v>
      </c>
      <c r="I10" s="47" t="s">
        <v>1178</v>
      </c>
      <c r="J10" s="47" t="s">
        <v>1255</v>
      </c>
    </row>
    <row r="11" spans="1:10" ht="15.6" x14ac:dyDescent="0.3">
      <c r="A11" s="47" t="s">
        <v>1321</v>
      </c>
      <c r="B11" s="47" t="s">
        <v>769</v>
      </c>
      <c r="C11" s="47">
        <f t="shared" si="0"/>
        <v>2015</v>
      </c>
      <c r="D11" s="47">
        <f>MONTH(Table2[[#This Row],[Purchase Date]])</f>
        <v>2</v>
      </c>
      <c r="E11" s="52">
        <v>42050</v>
      </c>
      <c r="F11" s="47" t="s">
        <v>1169</v>
      </c>
      <c r="G11" s="49">
        <v>601.53</v>
      </c>
      <c r="H11" s="47" t="s">
        <v>1176</v>
      </c>
      <c r="I11" s="47" t="s">
        <v>1201</v>
      </c>
      <c r="J11" s="47" t="s">
        <v>1185</v>
      </c>
    </row>
    <row r="12" spans="1:10" ht="15.6" x14ac:dyDescent="0.3">
      <c r="A12" s="47" t="s">
        <v>1364</v>
      </c>
      <c r="B12" s="47" t="s">
        <v>878</v>
      </c>
      <c r="C12" s="47">
        <f t="shared" si="0"/>
        <v>2015</v>
      </c>
      <c r="D12" s="47">
        <f>MONTH(Table2[[#This Row],[Purchase Date]])</f>
        <v>3</v>
      </c>
      <c r="E12" s="52">
        <v>42071</v>
      </c>
      <c r="F12" s="47" t="s">
        <v>1163</v>
      </c>
      <c r="G12" s="49">
        <v>130.07</v>
      </c>
      <c r="H12" s="47" t="s">
        <v>1176</v>
      </c>
      <c r="I12" s="47" t="s">
        <v>1202</v>
      </c>
      <c r="J12" s="47" t="s">
        <v>1179</v>
      </c>
    </row>
    <row r="13" spans="1:10" ht="15.6" x14ac:dyDescent="0.3">
      <c r="A13" s="47" t="s">
        <v>1427</v>
      </c>
      <c r="B13" s="47" t="s">
        <v>1001</v>
      </c>
      <c r="C13" s="47">
        <f t="shared" si="0"/>
        <v>2015</v>
      </c>
      <c r="D13" s="47">
        <f>MONTH(Table2[[#This Row],[Purchase Date]])</f>
        <v>6</v>
      </c>
      <c r="E13" s="52">
        <v>42170</v>
      </c>
      <c r="F13" s="47" t="s">
        <v>1162</v>
      </c>
      <c r="G13" s="49">
        <v>1726.07</v>
      </c>
      <c r="H13" s="47" t="s">
        <v>1174</v>
      </c>
      <c r="I13" s="47" t="s">
        <v>1186</v>
      </c>
      <c r="J13" s="47" t="s">
        <v>1179</v>
      </c>
    </row>
    <row r="14" spans="1:10" ht="15.6" x14ac:dyDescent="0.3">
      <c r="A14" s="47" t="s">
        <v>1428</v>
      </c>
      <c r="B14" s="47" t="s">
        <v>1002</v>
      </c>
      <c r="C14" s="47">
        <f t="shared" si="0"/>
        <v>2015</v>
      </c>
      <c r="D14" s="47">
        <f>MONTH(Table2[[#This Row],[Purchase Date]])</f>
        <v>6</v>
      </c>
      <c r="E14" s="52">
        <v>42171</v>
      </c>
      <c r="F14" s="47" t="s">
        <v>1163</v>
      </c>
      <c r="G14" s="49">
        <v>1510.37</v>
      </c>
      <c r="H14" s="47" t="s">
        <v>1171</v>
      </c>
      <c r="I14" s="47" t="s">
        <v>1189</v>
      </c>
      <c r="J14" s="47" t="s">
        <v>1179</v>
      </c>
    </row>
    <row r="15" spans="1:10" ht="15.6" x14ac:dyDescent="0.3">
      <c r="A15" s="47" t="s">
        <v>1476</v>
      </c>
      <c r="B15" s="47" t="s">
        <v>1106</v>
      </c>
      <c r="C15" s="47">
        <f t="shared" si="0"/>
        <v>2015</v>
      </c>
      <c r="D15" s="47">
        <f>MONTH(Table2[[#This Row],[Purchase Date]])</f>
        <v>6</v>
      </c>
      <c r="E15" s="52">
        <v>42180</v>
      </c>
      <c r="F15" s="47" t="s">
        <v>1169</v>
      </c>
      <c r="G15" s="49">
        <v>1305.5899999999999</v>
      </c>
      <c r="H15" s="47" t="s">
        <v>1174</v>
      </c>
      <c r="I15" s="47" t="s">
        <v>1181</v>
      </c>
      <c r="J15" s="47" t="s">
        <v>1185</v>
      </c>
    </row>
    <row r="16" spans="1:10" ht="15.6" x14ac:dyDescent="0.3">
      <c r="A16" s="47" t="s">
        <v>1359</v>
      </c>
      <c r="B16" s="47" t="s">
        <v>863</v>
      </c>
      <c r="C16" s="47">
        <f t="shared" si="0"/>
        <v>2015</v>
      </c>
      <c r="D16" s="47">
        <f>MONTH(Table2[[#This Row],[Purchase Date]])</f>
        <v>7</v>
      </c>
      <c r="E16" s="52">
        <v>42189</v>
      </c>
      <c r="F16" s="47" t="s">
        <v>1163</v>
      </c>
      <c r="G16" s="49">
        <v>347.05</v>
      </c>
      <c r="H16" s="47" t="s">
        <v>1174</v>
      </c>
      <c r="I16" s="47" t="s">
        <v>1189</v>
      </c>
      <c r="J16" s="47" t="s">
        <v>1179</v>
      </c>
    </row>
    <row r="17" spans="1:10" ht="15.6" x14ac:dyDescent="0.3">
      <c r="A17" s="47" t="s">
        <v>1360</v>
      </c>
      <c r="B17" s="47" t="s">
        <v>864</v>
      </c>
      <c r="C17" s="47">
        <f t="shared" si="0"/>
        <v>2015</v>
      </c>
      <c r="D17" s="47">
        <f>MONTH(Table2[[#This Row],[Purchase Date]])</f>
        <v>7</v>
      </c>
      <c r="E17" s="52">
        <v>42190</v>
      </c>
      <c r="F17" s="47" t="s">
        <v>1163</v>
      </c>
      <c r="G17" s="49">
        <v>1201.47</v>
      </c>
      <c r="H17" s="47" t="s">
        <v>1174</v>
      </c>
      <c r="I17" s="47" t="s">
        <v>1178</v>
      </c>
      <c r="J17" s="47" t="s">
        <v>1255</v>
      </c>
    </row>
    <row r="18" spans="1:10" ht="15.6" x14ac:dyDescent="0.3">
      <c r="A18" s="47" t="s">
        <v>1361</v>
      </c>
      <c r="B18" s="47" t="s">
        <v>868</v>
      </c>
      <c r="C18" s="47">
        <f t="shared" si="0"/>
        <v>2015</v>
      </c>
      <c r="D18" s="47">
        <f>MONTH(Table2[[#This Row],[Purchase Date]])</f>
        <v>7</v>
      </c>
      <c r="E18" s="52">
        <v>42190</v>
      </c>
      <c r="F18" s="47" t="s">
        <v>1155</v>
      </c>
      <c r="G18" s="49">
        <v>1066.98</v>
      </c>
      <c r="H18" s="47" t="s">
        <v>1174</v>
      </c>
      <c r="I18" s="47" t="s">
        <v>1199</v>
      </c>
      <c r="J18" s="47" t="s">
        <v>1179</v>
      </c>
    </row>
    <row r="19" spans="1:10" ht="15.6" x14ac:dyDescent="0.3">
      <c r="A19" s="47" t="s">
        <v>1266</v>
      </c>
      <c r="B19" s="47" t="s">
        <v>639</v>
      </c>
      <c r="C19" s="47">
        <f t="shared" si="0"/>
        <v>2015</v>
      </c>
      <c r="D19" s="47">
        <f>MONTH(Table2[[#This Row],[Purchase Date]])</f>
        <v>7</v>
      </c>
      <c r="E19" s="52">
        <v>42197</v>
      </c>
      <c r="F19" s="47" t="s">
        <v>1169</v>
      </c>
      <c r="G19" s="49">
        <v>1556.99</v>
      </c>
      <c r="H19" s="47" t="s">
        <v>1171</v>
      </c>
      <c r="I19" s="47" t="s">
        <v>1199</v>
      </c>
      <c r="J19" s="47" t="s">
        <v>1185</v>
      </c>
    </row>
    <row r="20" spans="1:10" ht="15.6" x14ac:dyDescent="0.3">
      <c r="A20" s="47" t="s">
        <v>1434</v>
      </c>
      <c r="B20" s="47" t="s">
        <v>1018</v>
      </c>
      <c r="C20" s="47">
        <f t="shared" si="0"/>
        <v>2015</v>
      </c>
      <c r="D20" s="47">
        <f>MONTH(Table2[[#This Row],[Purchase Date]])</f>
        <v>8</v>
      </c>
      <c r="E20" s="52">
        <v>42227</v>
      </c>
      <c r="F20" s="47" t="s">
        <v>1160</v>
      </c>
      <c r="G20" s="49">
        <v>774.69</v>
      </c>
      <c r="H20" s="47" t="s">
        <v>1174</v>
      </c>
      <c r="I20" s="47" t="s">
        <v>1201</v>
      </c>
      <c r="J20" s="47" t="s">
        <v>1179</v>
      </c>
    </row>
    <row r="21" spans="1:10" ht="15.6" x14ac:dyDescent="0.3">
      <c r="A21" s="47" t="s">
        <v>1402</v>
      </c>
      <c r="B21" s="47" t="s">
        <v>950</v>
      </c>
      <c r="C21" s="47">
        <f t="shared" si="0"/>
        <v>2015</v>
      </c>
      <c r="D21" s="47">
        <f>MONTH(Table2[[#This Row],[Purchase Date]])</f>
        <v>9</v>
      </c>
      <c r="E21" s="52">
        <v>42262</v>
      </c>
      <c r="F21" s="47" t="s">
        <v>1160</v>
      </c>
      <c r="G21" s="49">
        <v>1870.18</v>
      </c>
      <c r="H21" s="47" t="s">
        <v>1176</v>
      </c>
      <c r="I21" s="47" t="s">
        <v>1181</v>
      </c>
      <c r="J21" s="47" t="s">
        <v>1179</v>
      </c>
    </row>
    <row r="22" spans="1:10" ht="15.6" x14ac:dyDescent="0.3">
      <c r="A22" s="47" t="s">
        <v>1324</v>
      </c>
      <c r="B22" s="47" t="s">
        <v>776</v>
      </c>
      <c r="C22" s="47">
        <f t="shared" si="0"/>
        <v>2015</v>
      </c>
      <c r="D22" s="47">
        <f>MONTH(Table2[[#This Row],[Purchase Date]])</f>
        <v>10</v>
      </c>
      <c r="E22" s="52">
        <v>42308</v>
      </c>
      <c r="F22" s="47" t="s">
        <v>1169</v>
      </c>
      <c r="G22" s="49">
        <v>1934.91</v>
      </c>
      <c r="H22" s="47" t="s">
        <v>1174</v>
      </c>
      <c r="I22" s="47" t="s">
        <v>1198</v>
      </c>
      <c r="J22" s="47" t="s">
        <v>1255</v>
      </c>
    </row>
    <row r="23" spans="1:10" ht="15.6" x14ac:dyDescent="0.3">
      <c r="A23" s="47" t="s">
        <v>1325</v>
      </c>
      <c r="B23" s="47" t="s">
        <v>777</v>
      </c>
      <c r="C23" s="47">
        <f t="shared" si="0"/>
        <v>2015</v>
      </c>
      <c r="D23" s="47">
        <f>MONTH(Table2[[#This Row],[Purchase Date]])</f>
        <v>11</v>
      </c>
      <c r="E23" s="52">
        <v>42309</v>
      </c>
      <c r="F23" s="47" t="s">
        <v>1162</v>
      </c>
      <c r="G23" s="49">
        <v>585.80999999999995</v>
      </c>
      <c r="H23" s="47" t="s">
        <v>1176</v>
      </c>
      <c r="I23" s="47" t="s">
        <v>1178</v>
      </c>
      <c r="J23" s="47" t="s">
        <v>1185</v>
      </c>
    </row>
    <row r="24" spans="1:10" ht="15.6" x14ac:dyDescent="0.3">
      <c r="A24" s="47" t="s">
        <v>1457</v>
      </c>
      <c r="B24" s="47" t="s">
        <v>1067</v>
      </c>
      <c r="C24" s="47">
        <f t="shared" si="0"/>
        <v>2015</v>
      </c>
      <c r="D24" s="47">
        <f>MONTH(Table2[[#This Row],[Purchase Date]])</f>
        <v>11</v>
      </c>
      <c r="E24" s="52">
        <v>42328</v>
      </c>
      <c r="F24" s="47" t="s">
        <v>1162</v>
      </c>
      <c r="G24" s="49">
        <v>455.9</v>
      </c>
      <c r="H24" s="47" t="s">
        <v>1171</v>
      </c>
      <c r="I24" s="47" t="s">
        <v>1186</v>
      </c>
      <c r="J24" s="47" t="s">
        <v>1185</v>
      </c>
    </row>
    <row r="25" spans="1:10" ht="15.6" x14ac:dyDescent="0.3">
      <c r="A25" s="47" t="s">
        <v>1356</v>
      </c>
      <c r="B25" s="47" t="s">
        <v>859</v>
      </c>
      <c r="C25" s="47">
        <f t="shared" si="0"/>
        <v>2016</v>
      </c>
      <c r="D25" s="47">
        <f>MONTH(Table2[[#This Row],[Purchase Date]])</f>
        <v>1</v>
      </c>
      <c r="E25" s="52">
        <v>42393</v>
      </c>
      <c r="F25" s="47" t="s">
        <v>1167</v>
      </c>
      <c r="G25" s="49">
        <v>1923.17</v>
      </c>
      <c r="H25" s="47" t="s">
        <v>1174</v>
      </c>
      <c r="I25" s="47" t="s">
        <v>1186</v>
      </c>
      <c r="J25" s="47" t="s">
        <v>1179</v>
      </c>
    </row>
    <row r="26" spans="1:10" ht="15.6" x14ac:dyDescent="0.3">
      <c r="A26" s="47" t="s">
        <v>1443</v>
      </c>
      <c r="B26" s="47" t="s">
        <v>1038</v>
      </c>
      <c r="C26" s="47">
        <f t="shared" si="0"/>
        <v>2016</v>
      </c>
      <c r="D26" s="47">
        <f>MONTH(Table2[[#This Row],[Purchase Date]])</f>
        <v>1</v>
      </c>
      <c r="E26" s="52">
        <v>42395</v>
      </c>
      <c r="F26" s="47" t="s">
        <v>1155</v>
      </c>
      <c r="G26" s="49">
        <v>970.54</v>
      </c>
      <c r="H26" s="47" t="s">
        <v>1176</v>
      </c>
      <c r="I26" s="47" t="s">
        <v>1186</v>
      </c>
      <c r="J26" s="47" t="s">
        <v>1179</v>
      </c>
    </row>
    <row r="27" spans="1:10" ht="15.6" x14ac:dyDescent="0.3">
      <c r="A27" s="47" t="s">
        <v>1472</v>
      </c>
      <c r="B27" s="47" t="s">
        <v>1097</v>
      </c>
      <c r="C27" s="47">
        <f t="shared" si="0"/>
        <v>2016</v>
      </c>
      <c r="D27" s="47">
        <f>MONTH(Table2[[#This Row],[Purchase Date]])</f>
        <v>1</v>
      </c>
      <c r="E27" s="52">
        <v>42400</v>
      </c>
      <c r="F27" s="47" t="s">
        <v>1170</v>
      </c>
      <c r="G27" s="49">
        <v>1021.11</v>
      </c>
      <c r="H27" s="47" t="s">
        <v>1171</v>
      </c>
      <c r="I27" s="47" t="s">
        <v>1186</v>
      </c>
      <c r="J27" s="47" t="s">
        <v>1179</v>
      </c>
    </row>
    <row r="28" spans="1:10" ht="15.6" x14ac:dyDescent="0.3">
      <c r="A28" s="47" t="s">
        <v>1446</v>
      </c>
      <c r="B28" s="47" t="s">
        <v>1042</v>
      </c>
      <c r="C28" s="47">
        <f t="shared" si="0"/>
        <v>2016</v>
      </c>
      <c r="D28" s="47">
        <f>MONTH(Table2[[#This Row],[Purchase Date]])</f>
        <v>2</v>
      </c>
      <c r="E28" s="52">
        <v>42428</v>
      </c>
      <c r="F28" s="47" t="s">
        <v>1152</v>
      </c>
      <c r="G28" s="49">
        <v>342.66</v>
      </c>
      <c r="H28" s="47" t="s">
        <v>1176</v>
      </c>
      <c r="I28" s="47" t="s">
        <v>1198</v>
      </c>
      <c r="J28" s="47" t="s">
        <v>1179</v>
      </c>
    </row>
    <row r="29" spans="1:10" ht="15.6" x14ac:dyDescent="0.3">
      <c r="A29" s="47" t="s">
        <v>1261</v>
      </c>
      <c r="B29" s="47" t="s">
        <v>623</v>
      </c>
      <c r="C29" s="47">
        <f t="shared" si="0"/>
        <v>2016</v>
      </c>
      <c r="D29" s="47">
        <f>MONTH(Table2[[#This Row],[Purchase Date]])</f>
        <v>4</v>
      </c>
      <c r="E29" s="52">
        <v>42482</v>
      </c>
      <c r="F29" s="47" t="s">
        <v>1163</v>
      </c>
      <c r="G29" s="49">
        <v>267.58</v>
      </c>
      <c r="H29" s="47" t="s">
        <v>1171</v>
      </c>
      <c r="I29" s="47" t="s">
        <v>1189</v>
      </c>
      <c r="J29" s="47" t="s">
        <v>1255</v>
      </c>
    </row>
    <row r="30" spans="1:10" ht="15.6" x14ac:dyDescent="0.3">
      <c r="A30" s="47" t="s">
        <v>1277</v>
      </c>
      <c r="B30" s="47" t="s">
        <v>672</v>
      </c>
      <c r="C30" s="47">
        <f t="shared" si="0"/>
        <v>2016</v>
      </c>
      <c r="D30" s="47">
        <f>MONTH(Table2[[#This Row],[Purchase Date]])</f>
        <v>4</v>
      </c>
      <c r="E30" s="52">
        <v>42487</v>
      </c>
      <c r="F30" s="47" t="s">
        <v>1160</v>
      </c>
      <c r="G30" s="49">
        <v>1233.43</v>
      </c>
      <c r="H30" s="47" t="s">
        <v>1171</v>
      </c>
      <c r="I30" s="47" t="s">
        <v>1186</v>
      </c>
      <c r="J30" s="47" t="s">
        <v>1255</v>
      </c>
    </row>
    <row r="31" spans="1:10" ht="15.6" x14ac:dyDescent="0.3">
      <c r="A31" s="47" t="s">
        <v>1278</v>
      </c>
      <c r="B31" s="47" t="s">
        <v>673</v>
      </c>
      <c r="C31" s="47">
        <f t="shared" si="0"/>
        <v>2016</v>
      </c>
      <c r="D31" s="47">
        <f>MONTH(Table2[[#This Row],[Purchase Date]])</f>
        <v>4</v>
      </c>
      <c r="E31" s="52">
        <v>42488</v>
      </c>
      <c r="F31" s="47" t="s">
        <v>1162</v>
      </c>
      <c r="G31" s="49">
        <v>1950.8</v>
      </c>
      <c r="H31" s="47" t="s">
        <v>1171</v>
      </c>
      <c r="I31" s="47" t="s">
        <v>1178</v>
      </c>
      <c r="J31" s="47" t="s">
        <v>1255</v>
      </c>
    </row>
    <row r="32" spans="1:10" ht="15.6" x14ac:dyDescent="0.3">
      <c r="A32" s="47" t="s">
        <v>1334</v>
      </c>
      <c r="B32" s="47" t="s">
        <v>799</v>
      </c>
      <c r="C32" s="47">
        <f t="shared" si="0"/>
        <v>2016</v>
      </c>
      <c r="D32" s="47">
        <f>MONTH(Table2[[#This Row],[Purchase Date]])</f>
        <v>5</v>
      </c>
      <c r="E32" s="52">
        <v>42514</v>
      </c>
      <c r="F32" s="47" t="s">
        <v>1162</v>
      </c>
      <c r="G32" s="49">
        <v>1185.3699999999999</v>
      </c>
      <c r="H32" s="47" t="s">
        <v>1171</v>
      </c>
      <c r="I32" s="47" t="s">
        <v>1198</v>
      </c>
      <c r="J32" s="47" t="s">
        <v>1185</v>
      </c>
    </row>
    <row r="33" spans="1:10" ht="15.6" x14ac:dyDescent="0.3">
      <c r="A33" s="47" t="s">
        <v>1380</v>
      </c>
      <c r="B33" s="47" t="s">
        <v>910</v>
      </c>
      <c r="C33" s="47">
        <f t="shared" si="0"/>
        <v>2016</v>
      </c>
      <c r="D33" s="47">
        <f>MONTH(Table2[[#This Row],[Purchase Date]])</f>
        <v>5</v>
      </c>
      <c r="E33" s="52">
        <v>42519</v>
      </c>
      <c r="F33" s="47" t="s">
        <v>1164</v>
      </c>
      <c r="G33" s="49">
        <v>1904.73</v>
      </c>
      <c r="H33" s="47" t="s">
        <v>1171</v>
      </c>
      <c r="I33" s="47" t="s">
        <v>1202</v>
      </c>
      <c r="J33" s="47" t="s">
        <v>1255</v>
      </c>
    </row>
    <row r="34" spans="1:10" ht="15.6" x14ac:dyDescent="0.3">
      <c r="A34" s="47" t="s">
        <v>1297</v>
      </c>
      <c r="B34" s="47" t="s">
        <v>721</v>
      </c>
      <c r="C34" s="47">
        <f t="shared" si="0"/>
        <v>2016</v>
      </c>
      <c r="D34" s="47">
        <f>MONTH(Table2[[#This Row],[Purchase Date]])</f>
        <v>6</v>
      </c>
      <c r="E34" s="52">
        <v>42538</v>
      </c>
      <c r="F34" s="47" t="s">
        <v>1152</v>
      </c>
      <c r="G34" s="49">
        <v>729.46</v>
      </c>
      <c r="H34" s="47" t="s">
        <v>1171</v>
      </c>
      <c r="I34" s="47" t="s">
        <v>1199</v>
      </c>
      <c r="J34" s="47" t="s">
        <v>1255</v>
      </c>
    </row>
    <row r="35" spans="1:10" ht="15.6" x14ac:dyDescent="0.3">
      <c r="A35" s="47" t="s">
        <v>1341</v>
      </c>
      <c r="B35" s="47" t="s">
        <v>820</v>
      </c>
      <c r="C35" s="47">
        <f t="shared" si="0"/>
        <v>2016</v>
      </c>
      <c r="D35" s="47">
        <f>MONTH(Table2[[#This Row],[Purchase Date]])</f>
        <v>6</v>
      </c>
      <c r="E35" s="52">
        <v>42549</v>
      </c>
      <c r="F35" s="47" t="s">
        <v>1170</v>
      </c>
      <c r="G35" s="49">
        <v>296.02999999999997</v>
      </c>
      <c r="H35" s="47" t="s">
        <v>1176</v>
      </c>
      <c r="I35" s="47" t="s">
        <v>1195</v>
      </c>
      <c r="J35" s="47" t="s">
        <v>1179</v>
      </c>
    </row>
    <row r="36" spans="1:10" ht="15.6" x14ac:dyDescent="0.3">
      <c r="A36" s="47" t="s">
        <v>1396</v>
      </c>
      <c r="B36" s="47" t="s">
        <v>936</v>
      </c>
      <c r="C36" s="47">
        <f t="shared" si="0"/>
        <v>2016</v>
      </c>
      <c r="D36" s="47">
        <f>MONTH(Table2[[#This Row],[Purchase Date]])</f>
        <v>8</v>
      </c>
      <c r="E36" s="52">
        <v>42586</v>
      </c>
      <c r="F36" s="47" t="s">
        <v>1169</v>
      </c>
      <c r="G36" s="49">
        <v>1911.79</v>
      </c>
      <c r="H36" s="47" t="s">
        <v>1176</v>
      </c>
      <c r="I36" s="47" t="s">
        <v>1198</v>
      </c>
      <c r="J36" s="47" t="s">
        <v>1179</v>
      </c>
    </row>
    <row r="37" spans="1:10" ht="15.6" x14ac:dyDescent="0.3">
      <c r="A37" s="47" t="s">
        <v>1390</v>
      </c>
      <c r="B37" s="47" t="s">
        <v>928</v>
      </c>
      <c r="C37" s="47">
        <f t="shared" si="0"/>
        <v>2016</v>
      </c>
      <c r="D37" s="47">
        <f>MONTH(Table2[[#This Row],[Purchase Date]])</f>
        <v>8</v>
      </c>
      <c r="E37" s="52">
        <v>42600</v>
      </c>
      <c r="F37" s="47" t="s">
        <v>1163</v>
      </c>
      <c r="G37" s="49">
        <v>1795.47</v>
      </c>
      <c r="H37" s="47" t="s">
        <v>1174</v>
      </c>
      <c r="I37" s="47" t="s">
        <v>1184</v>
      </c>
      <c r="J37" s="47" t="s">
        <v>1179</v>
      </c>
    </row>
    <row r="38" spans="1:10" ht="15.6" x14ac:dyDescent="0.3">
      <c r="A38" s="47" t="s">
        <v>1467</v>
      </c>
      <c r="B38" s="47" t="s">
        <v>1088</v>
      </c>
      <c r="C38" s="47">
        <f t="shared" si="0"/>
        <v>2016</v>
      </c>
      <c r="D38" s="47">
        <f>MONTH(Table2[[#This Row],[Purchase Date]])</f>
        <v>9</v>
      </c>
      <c r="E38" s="52">
        <v>42620</v>
      </c>
      <c r="F38" s="47" t="s">
        <v>1160</v>
      </c>
      <c r="G38" s="49">
        <v>709.01</v>
      </c>
      <c r="H38" s="47" t="s">
        <v>1171</v>
      </c>
      <c r="I38" s="47" t="s">
        <v>1181</v>
      </c>
      <c r="J38" s="47" t="s">
        <v>1185</v>
      </c>
    </row>
    <row r="39" spans="1:10" ht="15.6" x14ac:dyDescent="0.3">
      <c r="A39" s="47" t="s">
        <v>1273</v>
      </c>
      <c r="B39" s="47" t="s">
        <v>666</v>
      </c>
      <c r="C39" s="47">
        <f t="shared" si="0"/>
        <v>2016</v>
      </c>
      <c r="D39" s="47">
        <f>MONTH(Table2[[#This Row],[Purchase Date]])</f>
        <v>9</v>
      </c>
      <c r="E39" s="52">
        <v>42631</v>
      </c>
      <c r="F39" s="47" t="s">
        <v>1166</v>
      </c>
      <c r="G39" s="49">
        <v>230.71</v>
      </c>
      <c r="H39" s="47" t="s">
        <v>1176</v>
      </c>
      <c r="I39" s="47" t="s">
        <v>1202</v>
      </c>
      <c r="J39" s="47" t="s">
        <v>1255</v>
      </c>
    </row>
    <row r="40" spans="1:10" ht="15.6" x14ac:dyDescent="0.3">
      <c r="A40" s="47" t="s">
        <v>1477</v>
      </c>
      <c r="B40" s="47" t="s">
        <v>1107</v>
      </c>
      <c r="C40" s="47">
        <f t="shared" si="0"/>
        <v>2016</v>
      </c>
      <c r="D40" s="47">
        <f>MONTH(Table2[[#This Row],[Purchase Date]])</f>
        <v>11</v>
      </c>
      <c r="E40" s="52">
        <v>42700</v>
      </c>
      <c r="F40" s="47" t="s">
        <v>1155</v>
      </c>
      <c r="G40" s="49">
        <v>1174.22</v>
      </c>
      <c r="H40" s="47" t="s">
        <v>1174</v>
      </c>
      <c r="I40" s="47" t="s">
        <v>1198</v>
      </c>
      <c r="J40" s="47" t="s">
        <v>1179</v>
      </c>
    </row>
    <row r="41" spans="1:10" ht="15.6" x14ac:dyDescent="0.3">
      <c r="A41" s="47" t="s">
        <v>1342</v>
      </c>
      <c r="B41" s="47" t="s">
        <v>821</v>
      </c>
      <c r="C41" s="47">
        <f t="shared" si="0"/>
        <v>2016</v>
      </c>
      <c r="D41" s="47">
        <f>MONTH(Table2[[#This Row],[Purchase Date]])</f>
        <v>12</v>
      </c>
      <c r="E41" s="52">
        <v>42708</v>
      </c>
      <c r="F41" s="47" t="s">
        <v>1167</v>
      </c>
      <c r="G41" s="49">
        <v>1311.96</v>
      </c>
      <c r="H41" s="47" t="s">
        <v>1174</v>
      </c>
      <c r="I41" s="47" t="s">
        <v>1199</v>
      </c>
      <c r="J41" s="47" t="s">
        <v>1179</v>
      </c>
    </row>
    <row r="42" spans="1:10" ht="15.6" x14ac:dyDescent="0.3">
      <c r="A42" s="47" t="s">
        <v>1346</v>
      </c>
      <c r="B42" s="47" t="s">
        <v>833</v>
      </c>
      <c r="C42" s="47">
        <f t="shared" si="0"/>
        <v>2016</v>
      </c>
      <c r="D42" s="47">
        <f>MONTH(Table2[[#This Row],[Purchase Date]])</f>
        <v>12</v>
      </c>
      <c r="E42" s="52">
        <v>42708</v>
      </c>
      <c r="F42" s="47" t="s">
        <v>1167</v>
      </c>
      <c r="G42" s="49">
        <v>761.49</v>
      </c>
      <c r="H42" s="47" t="s">
        <v>1171</v>
      </c>
      <c r="I42" s="47" t="s">
        <v>1186</v>
      </c>
      <c r="J42" s="47" t="s">
        <v>1179</v>
      </c>
    </row>
    <row r="43" spans="1:10" ht="15.6" x14ac:dyDescent="0.3">
      <c r="A43" s="47" t="s">
        <v>1343</v>
      </c>
      <c r="B43" s="47" t="s">
        <v>822</v>
      </c>
      <c r="C43" s="47">
        <f t="shared" si="0"/>
        <v>2016</v>
      </c>
      <c r="D43" s="47">
        <f>MONTH(Table2[[#This Row],[Purchase Date]])</f>
        <v>12</v>
      </c>
      <c r="E43" s="52">
        <v>42709</v>
      </c>
      <c r="F43" s="47" t="s">
        <v>1152</v>
      </c>
      <c r="G43" s="49">
        <v>691.42</v>
      </c>
      <c r="H43" s="47" t="s">
        <v>1176</v>
      </c>
      <c r="I43" s="47" t="s">
        <v>1201</v>
      </c>
      <c r="J43" s="47" t="s">
        <v>1179</v>
      </c>
    </row>
    <row r="44" spans="1:10" ht="15.6" x14ac:dyDescent="0.3">
      <c r="A44" s="47" t="s">
        <v>1454</v>
      </c>
      <c r="B44" s="47" t="s">
        <v>1060</v>
      </c>
      <c r="C44" s="47">
        <f t="shared" si="0"/>
        <v>2016</v>
      </c>
      <c r="D44" s="47">
        <f>MONTH(Table2[[#This Row],[Purchase Date]])</f>
        <v>12</v>
      </c>
      <c r="E44" s="52">
        <v>42726</v>
      </c>
      <c r="F44" s="47" t="s">
        <v>1163</v>
      </c>
      <c r="G44" s="49">
        <v>855.13</v>
      </c>
      <c r="H44" s="47" t="s">
        <v>1174</v>
      </c>
      <c r="I44" s="47" t="s">
        <v>1198</v>
      </c>
      <c r="J44" s="47" t="s">
        <v>1179</v>
      </c>
    </row>
    <row r="45" spans="1:10" ht="15.6" x14ac:dyDescent="0.3">
      <c r="A45" s="47" t="s">
        <v>1333</v>
      </c>
      <c r="B45" s="47" t="s">
        <v>794</v>
      </c>
      <c r="C45" s="47">
        <f t="shared" si="0"/>
        <v>2017</v>
      </c>
      <c r="D45" s="47">
        <f>MONTH(Table2[[#This Row],[Purchase Date]])</f>
        <v>1</v>
      </c>
      <c r="E45" s="52">
        <v>42758</v>
      </c>
      <c r="F45" s="47" t="s">
        <v>1155</v>
      </c>
      <c r="G45" s="49">
        <v>1400.09</v>
      </c>
      <c r="H45" s="47" t="s">
        <v>1176</v>
      </c>
      <c r="I45" s="47" t="s">
        <v>1202</v>
      </c>
      <c r="J45" s="47" t="s">
        <v>1255</v>
      </c>
    </row>
    <row r="46" spans="1:10" ht="15.6" x14ac:dyDescent="0.3">
      <c r="A46" s="47" t="s">
        <v>1483</v>
      </c>
      <c r="B46" s="47" t="s">
        <v>1142</v>
      </c>
      <c r="C46" s="47">
        <f t="shared" si="0"/>
        <v>2017</v>
      </c>
      <c r="D46" s="47">
        <f>MONTH(Table2[[#This Row],[Purchase Date]])</f>
        <v>1</v>
      </c>
      <c r="E46" s="52">
        <v>42760</v>
      </c>
      <c r="F46" s="47" t="s">
        <v>1160</v>
      </c>
      <c r="G46" s="49">
        <v>1740.47</v>
      </c>
      <c r="H46" s="47" t="s">
        <v>1174</v>
      </c>
      <c r="I46" s="47" t="s">
        <v>1178</v>
      </c>
      <c r="J46" s="47" t="s">
        <v>1185</v>
      </c>
    </row>
    <row r="47" spans="1:10" ht="15.6" x14ac:dyDescent="0.3">
      <c r="A47" s="47" t="s">
        <v>1308</v>
      </c>
      <c r="B47" s="47" t="s">
        <v>738</v>
      </c>
      <c r="C47" s="47">
        <f t="shared" si="0"/>
        <v>2017</v>
      </c>
      <c r="D47" s="47">
        <f>MONTH(Table2[[#This Row],[Purchase Date]])</f>
        <v>2</v>
      </c>
      <c r="E47" s="52">
        <v>42777</v>
      </c>
      <c r="F47" s="47" t="s">
        <v>1163</v>
      </c>
      <c r="G47" s="49">
        <v>1438.28</v>
      </c>
      <c r="H47" s="47" t="s">
        <v>1171</v>
      </c>
      <c r="I47" s="47" t="s">
        <v>1178</v>
      </c>
      <c r="J47" s="47" t="s">
        <v>1185</v>
      </c>
    </row>
    <row r="48" spans="1:10" ht="15.6" x14ac:dyDescent="0.3">
      <c r="A48" s="47" t="s">
        <v>1309</v>
      </c>
      <c r="B48" s="47" t="s">
        <v>739</v>
      </c>
      <c r="C48" s="47">
        <f t="shared" si="0"/>
        <v>2017</v>
      </c>
      <c r="D48" s="47">
        <f>MONTH(Table2[[#This Row],[Purchase Date]])</f>
        <v>2</v>
      </c>
      <c r="E48" s="52">
        <v>42778</v>
      </c>
      <c r="F48" s="47" t="s">
        <v>1163</v>
      </c>
      <c r="G48" s="49">
        <v>615.67999999999995</v>
      </c>
      <c r="H48" s="47" t="s">
        <v>1171</v>
      </c>
      <c r="I48" s="47" t="s">
        <v>1195</v>
      </c>
      <c r="J48" s="47" t="s">
        <v>1255</v>
      </c>
    </row>
    <row r="49" spans="1:10" ht="15.6" x14ac:dyDescent="0.3">
      <c r="A49" s="47" t="s">
        <v>1351</v>
      </c>
      <c r="B49" s="47" t="s">
        <v>849</v>
      </c>
      <c r="C49" s="47">
        <f t="shared" si="0"/>
        <v>2017</v>
      </c>
      <c r="D49" s="47">
        <f>MONTH(Table2[[#This Row],[Purchase Date]])</f>
        <v>3</v>
      </c>
      <c r="E49" s="52">
        <v>42810</v>
      </c>
      <c r="F49" s="47" t="s">
        <v>1169</v>
      </c>
      <c r="G49" s="49">
        <v>645.30999999999995</v>
      </c>
      <c r="H49" s="47" t="s">
        <v>1171</v>
      </c>
      <c r="I49" s="47" t="s">
        <v>1189</v>
      </c>
      <c r="J49" s="47" t="s">
        <v>1255</v>
      </c>
    </row>
    <row r="50" spans="1:10" ht="15.6" x14ac:dyDescent="0.3">
      <c r="A50" s="47" t="s">
        <v>1472</v>
      </c>
      <c r="B50" s="47" t="s">
        <v>1138</v>
      </c>
      <c r="C50" s="47">
        <f t="shared" si="0"/>
        <v>2017</v>
      </c>
      <c r="D50" s="47">
        <f>MONTH(Table2[[#This Row],[Purchase Date]])</f>
        <v>3</v>
      </c>
      <c r="E50" s="52">
        <v>42823</v>
      </c>
      <c r="F50" s="47" t="s">
        <v>1155</v>
      </c>
      <c r="G50" s="49">
        <v>416.26</v>
      </c>
      <c r="H50" s="47" t="s">
        <v>1171</v>
      </c>
      <c r="I50" s="47" t="s">
        <v>1195</v>
      </c>
      <c r="J50" s="47" t="s">
        <v>1185</v>
      </c>
    </row>
    <row r="51" spans="1:10" ht="15.6" x14ac:dyDescent="0.3">
      <c r="A51" s="47" t="s">
        <v>1272</v>
      </c>
      <c r="B51" s="47" t="s">
        <v>658</v>
      </c>
      <c r="C51" s="47">
        <f t="shared" si="0"/>
        <v>2017</v>
      </c>
      <c r="D51" s="47">
        <f>MONTH(Table2[[#This Row],[Purchase Date]])</f>
        <v>4</v>
      </c>
      <c r="E51" s="52">
        <v>42831</v>
      </c>
      <c r="F51" s="47" t="s">
        <v>1162</v>
      </c>
      <c r="G51" s="49">
        <v>481.79</v>
      </c>
      <c r="H51" s="47" t="s">
        <v>1176</v>
      </c>
      <c r="I51" s="47" t="s">
        <v>1189</v>
      </c>
      <c r="J51" s="47" t="s">
        <v>1185</v>
      </c>
    </row>
    <row r="52" spans="1:10" ht="15.6" x14ac:dyDescent="0.3">
      <c r="A52" s="47" t="s">
        <v>1473</v>
      </c>
      <c r="B52" s="47" t="s">
        <v>1100</v>
      </c>
      <c r="C52" s="47">
        <f t="shared" si="0"/>
        <v>2017</v>
      </c>
      <c r="D52" s="47">
        <f>MONTH(Table2[[#This Row],[Purchase Date]])</f>
        <v>4</v>
      </c>
      <c r="E52" s="52">
        <v>42841</v>
      </c>
      <c r="F52" s="47" t="s">
        <v>1167</v>
      </c>
      <c r="G52" s="49">
        <v>1415.47</v>
      </c>
      <c r="H52" s="47" t="s">
        <v>1171</v>
      </c>
      <c r="I52" s="47" t="s">
        <v>1186</v>
      </c>
      <c r="J52" s="47" t="s">
        <v>1255</v>
      </c>
    </row>
    <row r="53" spans="1:10" ht="15.6" x14ac:dyDescent="0.3">
      <c r="A53" s="47" t="s">
        <v>1468</v>
      </c>
      <c r="B53" s="47" t="s">
        <v>1130</v>
      </c>
      <c r="C53" s="47">
        <f t="shared" si="0"/>
        <v>2017</v>
      </c>
      <c r="D53" s="47">
        <f>MONTH(Table2[[#This Row],[Purchase Date]])</f>
        <v>4</v>
      </c>
      <c r="E53" s="52">
        <v>42853</v>
      </c>
      <c r="F53" s="47" t="s">
        <v>1167</v>
      </c>
      <c r="G53" s="49">
        <v>395.5</v>
      </c>
      <c r="H53" s="47" t="s">
        <v>1171</v>
      </c>
      <c r="I53" s="47" t="s">
        <v>1189</v>
      </c>
      <c r="J53" s="47" t="s">
        <v>1179</v>
      </c>
    </row>
    <row r="54" spans="1:10" ht="15.6" x14ac:dyDescent="0.3">
      <c r="A54" s="47" t="s">
        <v>1262</v>
      </c>
      <c r="B54" s="47" t="s">
        <v>624</v>
      </c>
      <c r="C54" s="47">
        <f t="shared" si="0"/>
        <v>2017</v>
      </c>
      <c r="D54" s="47">
        <f>MONTH(Table2[[#This Row],[Purchase Date]])</f>
        <v>5</v>
      </c>
      <c r="E54" s="52">
        <v>42857</v>
      </c>
      <c r="F54" s="47" t="s">
        <v>1162</v>
      </c>
      <c r="G54" s="49">
        <v>1323.02</v>
      </c>
      <c r="H54" s="47" t="s">
        <v>1176</v>
      </c>
      <c r="I54" s="47" t="s">
        <v>1181</v>
      </c>
      <c r="J54" s="47" t="s">
        <v>1185</v>
      </c>
    </row>
    <row r="55" spans="1:10" ht="15.6" x14ac:dyDescent="0.3">
      <c r="A55" s="47" t="s">
        <v>1480</v>
      </c>
      <c r="B55" s="47" t="s">
        <v>1128</v>
      </c>
      <c r="C55" s="47">
        <f t="shared" si="0"/>
        <v>2017</v>
      </c>
      <c r="D55" s="47">
        <f>MONTH(Table2[[#This Row],[Purchase Date]])</f>
        <v>5</v>
      </c>
      <c r="E55" s="52">
        <v>42858</v>
      </c>
      <c r="F55" s="47" t="s">
        <v>1169</v>
      </c>
      <c r="G55" s="49">
        <v>1472.94</v>
      </c>
      <c r="H55" s="47" t="s">
        <v>1174</v>
      </c>
      <c r="I55" s="47" t="s">
        <v>1189</v>
      </c>
      <c r="J55" s="47" t="s">
        <v>1255</v>
      </c>
    </row>
    <row r="56" spans="1:10" ht="15.6" x14ac:dyDescent="0.3">
      <c r="A56" s="47" t="s">
        <v>1336</v>
      </c>
      <c r="B56" s="47" t="s">
        <v>809</v>
      </c>
      <c r="C56" s="47">
        <f t="shared" si="0"/>
        <v>2017</v>
      </c>
      <c r="D56" s="47">
        <f>MONTH(Table2[[#This Row],[Purchase Date]])</f>
        <v>5</v>
      </c>
      <c r="E56" s="52">
        <v>42871</v>
      </c>
      <c r="F56" s="47" t="s">
        <v>1170</v>
      </c>
      <c r="G56" s="49">
        <v>1974</v>
      </c>
      <c r="H56" s="47" t="s">
        <v>1176</v>
      </c>
      <c r="I56" s="47" t="s">
        <v>1202</v>
      </c>
      <c r="J56" s="47" t="s">
        <v>1179</v>
      </c>
    </row>
    <row r="57" spans="1:10" ht="15.6" x14ac:dyDescent="0.3">
      <c r="A57" s="47" t="s">
        <v>1329</v>
      </c>
      <c r="B57" s="47" t="s">
        <v>785</v>
      </c>
      <c r="C57" s="47">
        <f t="shared" si="0"/>
        <v>2017</v>
      </c>
      <c r="D57" s="47">
        <f>MONTH(Table2[[#This Row],[Purchase Date]])</f>
        <v>6</v>
      </c>
      <c r="E57" s="52">
        <v>42900</v>
      </c>
      <c r="F57" s="47" t="s">
        <v>1152</v>
      </c>
      <c r="G57" s="49">
        <v>1777.38</v>
      </c>
      <c r="H57" s="47" t="s">
        <v>1174</v>
      </c>
      <c r="I57" s="47" t="s">
        <v>1186</v>
      </c>
      <c r="J57" s="47" t="s">
        <v>1185</v>
      </c>
    </row>
    <row r="58" spans="1:10" ht="15.6" x14ac:dyDescent="0.3">
      <c r="A58" s="47" t="s">
        <v>1340</v>
      </c>
      <c r="B58" s="47" t="s">
        <v>814</v>
      </c>
      <c r="C58" s="47">
        <f t="shared" si="0"/>
        <v>2017</v>
      </c>
      <c r="D58" s="47">
        <f>MONTH(Table2[[#This Row],[Purchase Date]])</f>
        <v>6</v>
      </c>
      <c r="E58" s="52">
        <v>42909</v>
      </c>
      <c r="F58" s="47" t="s">
        <v>1167</v>
      </c>
      <c r="G58" s="49">
        <v>1165.18</v>
      </c>
      <c r="H58" s="47" t="s">
        <v>1171</v>
      </c>
      <c r="I58" s="47" t="s">
        <v>1184</v>
      </c>
      <c r="J58" s="47" t="s">
        <v>1185</v>
      </c>
    </row>
    <row r="59" spans="1:10" ht="15.6" x14ac:dyDescent="0.3">
      <c r="A59" s="47" t="s">
        <v>1439</v>
      </c>
      <c r="B59" s="47" t="s">
        <v>1033</v>
      </c>
      <c r="C59" s="47">
        <f t="shared" si="0"/>
        <v>2017</v>
      </c>
      <c r="D59" s="47">
        <f>MONTH(Table2[[#This Row],[Purchase Date]])</f>
        <v>6</v>
      </c>
      <c r="E59" s="52">
        <v>42909</v>
      </c>
      <c r="F59" s="47" t="s">
        <v>1169</v>
      </c>
      <c r="G59" s="49">
        <v>268.52</v>
      </c>
      <c r="H59" s="47" t="s">
        <v>1176</v>
      </c>
      <c r="I59" s="47" t="s">
        <v>1202</v>
      </c>
      <c r="J59" s="47" t="s">
        <v>1255</v>
      </c>
    </row>
    <row r="60" spans="1:10" ht="15.6" x14ac:dyDescent="0.3">
      <c r="A60" s="47" t="s">
        <v>1348</v>
      </c>
      <c r="B60" s="47" t="s">
        <v>841</v>
      </c>
      <c r="C60" s="47">
        <f t="shared" si="0"/>
        <v>2017</v>
      </c>
      <c r="D60" s="47">
        <f>MONTH(Table2[[#This Row],[Purchase Date]])</f>
        <v>6</v>
      </c>
      <c r="E60" s="52">
        <v>42911</v>
      </c>
      <c r="F60" s="47" t="s">
        <v>1167</v>
      </c>
      <c r="G60" s="49">
        <v>230.73</v>
      </c>
      <c r="H60" s="47" t="s">
        <v>1171</v>
      </c>
      <c r="I60" s="47" t="s">
        <v>1184</v>
      </c>
      <c r="J60" s="47" t="s">
        <v>1255</v>
      </c>
    </row>
    <row r="61" spans="1:10" ht="15.6" x14ac:dyDescent="0.3">
      <c r="A61" s="47" t="s">
        <v>1413</v>
      </c>
      <c r="B61" s="47" t="s">
        <v>967</v>
      </c>
      <c r="C61" s="47">
        <f t="shared" si="0"/>
        <v>2017</v>
      </c>
      <c r="D61" s="47">
        <f>MONTH(Table2[[#This Row],[Purchase Date]])</f>
        <v>6</v>
      </c>
      <c r="E61" s="52">
        <v>42912</v>
      </c>
      <c r="F61" s="47" t="s">
        <v>1162</v>
      </c>
      <c r="G61" s="49">
        <v>538.49</v>
      </c>
      <c r="H61" s="47" t="s">
        <v>1176</v>
      </c>
      <c r="I61" s="47" t="s">
        <v>1199</v>
      </c>
      <c r="J61" s="47" t="s">
        <v>1255</v>
      </c>
    </row>
    <row r="62" spans="1:10" ht="15.6" x14ac:dyDescent="0.3">
      <c r="A62" s="47" t="s">
        <v>1354</v>
      </c>
      <c r="B62" s="47" t="s">
        <v>854</v>
      </c>
      <c r="C62" s="47">
        <f t="shared" si="0"/>
        <v>2017</v>
      </c>
      <c r="D62" s="47">
        <f>MONTH(Table2[[#This Row],[Purchase Date]])</f>
        <v>7</v>
      </c>
      <c r="E62" s="52">
        <v>42921</v>
      </c>
      <c r="F62" s="47" t="s">
        <v>1170</v>
      </c>
      <c r="G62" s="49">
        <v>1553.23</v>
      </c>
      <c r="H62" s="47" t="s">
        <v>1176</v>
      </c>
      <c r="I62" s="47" t="s">
        <v>1181</v>
      </c>
      <c r="J62" s="47" t="s">
        <v>1179</v>
      </c>
    </row>
    <row r="63" spans="1:10" ht="15.6" x14ac:dyDescent="0.3">
      <c r="A63" s="47" t="s">
        <v>1419</v>
      </c>
      <c r="B63" s="47" t="s">
        <v>980</v>
      </c>
      <c r="C63" s="47">
        <f t="shared" si="0"/>
        <v>2017</v>
      </c>
      <c r="D63" s="47">
        <f>MONTH(Table2[[#This Row],[Purchase Date]])</f>
        <v>7</v>
      </c>
      <c r="E63" s="52">
        <v>42925</v>
      </c>
      <c r="F63" s="47" t="s">
        <v>1152</v>
      </c>
      <c r="G63" s="49">
        <v>1592.34</v>
      </c>
      <c r="H63" s="47" t="s">
        <v>1171</v>
      </c>
      <c r="I63" s="47" t="s">
        <v>1201</v>
      </c>
      <c r="J63" s="47" t="s">
        <v>1179</v>
      </c>
    </row>
    <row r="64" spans="1:10" ht="15.6" x14ac:dyDescent="0.3">
      <c r="A64" s="47" t="s">
        <v>1296</v>
      </c>
      <c r="B64" s="47" t="s">
        <v>716</v>
      </c>
      <c r="C64" s="47">
        <f t="shared" si="0"/>
        <v>2017</v>
      </c>
      <c r="D64" s="47">
        <f>MONTH(Table2[[#This Row],[Purchase Date]])</f>
        <v>7</v>
      </c>
      <c r="E64" s="52">
        <v>42938</v>
      </c>
      <c r="F64" s="47" t="s">
        <v>1162</v>
      </c>
      <c r="G64" s="49">
        <v>1907.83</v>
      </c>
      <c r="H64" s="47" t="s">
        <v>1171</v>
      </c>
      <c r="I64" s="47" t="s">
        <v>1195</v>
      </c>
      <c r="J64" s="47" t="s">
        <v>1255</v>
      </c>
    </row>
    <row r="65" spans="1:10" ht="15.6" x14ac:dyDescent="0.3">
      <c r="A65" s="47" t="s">
        <v>1386</v>
      </c>
      <c r="B65" s="47" t="s">
        <v>923</v>
      </c>
      <c r="C65" s="47">
        <f t="shared" si="0"/>
        <v>2017</v>
      </c>
      <c r="D65" s="47">
        <f>MONTH(Table2[[#This Row],[Purchase Date]])</f>
        <v>9</v>
      </c>
      <c r="E65" s="52">
        <v>42996</v>
      </c>
      <c r="F65" s="47" t="s">
        <v>1163</v>
      </c>
      <c r="G65" s="49">
        <v>380.85</v>
      </c>
      <c r="H65" s="47" t="s">
        <v>1176</v>
      </c>
      <c r="I65" s="47" t="s">
        <v>1198</v>
      </c>
      <c r="J65" s="47" t="s">
        <v>1255</v>
      </c>
    </row>
    <row r="66" spans="1:10" ht="15.6" x14ac:dyDescent="0.3">
      <c r="A66" s="47" t="s">
        <v>1387</v>
      </c>
      <c r="B66" s="47" t="s">
        <v>924</v>
      </c>
      <c r="C66" s="47">
        <f t="shared" si="0"/>
        <v>2017</v>
      </c>
      <c r="D66" s="47">
        <f>MONTH(Table2[[#This Row],[Purchase Date]])</f>
        <v>9</v>
      </c>
      <c r="E66" s="52">
        <v>42997</v>
      </c>
      <c r="F66" s="47" t="s">
        <v>1163</v>
      </c>
      <c r="G66" s="49">
        <v>198.56</v>
      </c>
      <c r="H66" s="47" t="s">
        <v>1176</v>
      </c>
      <c r="I66" s="47" t="s">
        <v>1181</v>
      </c>
      <c r="J66" s="47" t="s">
        <v>1185</v>
      </c>
    </row>
    <row r="67" spans="1:10" ht="15.6" x14ac:dyDescent="0.3">
      <c r="A67" s="47" t="s">
        <v>1371</v>
      </c>
      <c r="B67" s="47" t="s">
        <v>894</v>
      </c>
      <c r="C67" s="47">
        <f t="shared" ref="C67:C130" si="1">YEAR(E67)</f>
        <v>2017</v>
      </c>
      <c r="D67" s="47">
        <f>MONTH(Table2[[#This Row],[Purchase Date]])</f>
        <v>10</v>
      </c>
      <c r="E67" s="52">
        <v>43009</v>
      </c>
      <c r="F67" s="47" t="s">
        <v>1170</v>
      </c>
      <c r="G67" s="49">
        <v>221.56</v>
      </c>
      <c r="H67" s="47" t="s">
        <v>1176</v>
      </c>
      <c r="I67" s="47" t="s">
        <v>1189</v>
      </c>
      <c r="J67" s="47" t="s">
        <v>1185</v>
      </c>
    </row>
    <row r="68" spans="1:10" ht="15.6" x14ac:dyDescent="0.3">
      <c r="A68" s="47" t="s">
        <v>1465</v>
      </c>
      <c r="B68" s="47" t="s">
        <v>1125</v>
      </c>
      <c r="C68" s="47">
        <f t="shared" si="1"/>
        <v>2017</v>
      </c>
      <c r="D68" s="47">
        <f>MONTH(Table2[[#This Row],[Purchase Date]])</f>
        <v>10</v>
      </c>
      <c r="E68" s="52">
        <v>43016</v>
      </c>
      <c r="F68" s="47" t="s">
        <v>1166</v>
      </c>
      <c r="G68" s="49">
        <v>242.89</v>
      </c>
      <c r="H68" s="47" t="s">
        <v>1174</v>
      </c>
      <c r="I68" s="47" t="s">
        <v>1199</v>
      </c>
      <c r="J68" s="47" t="s">
        <v>1255</v>
      </c>
    </row>
    <row r="69" spans="1:10" ht="15.6" x14ac:dyDescent="0.3">
      <c r="A69" s="47" t="s">
        <v>1411</v>
      </c>
      <c r="B69" s="47" t="s">
        <v>965</v>
      </c>
      <c r="C69" s="47">
        <f t="shared" si="1"/>
        <v>2017</v>
      </c>
      <c r="D69" s="47">
        <f>MONTH(Table2[[#This Row],[Purchase Date]])</f>
        <v>10</v>
      </c>
      <c r="E69" s="52">
        <v>43023</v>
      </c>
      <c r="F69" s="47" t="s">
        <v>1163</v>
      </c>
      <c r="G69" s="49">
        <v>321.29000000000002</v>
      </c>
      <c r="H69" s="47" t="s">
        <v>1171</v>
      </c>
      <c r="I69" s="47" t="s">
        <v>1201</v>
      </c>
      <c r="J69" s="47" t="s">
        <v>1179</v>
      </c>
    </row>
    <row r="70" spans="1:10" ht="15.6" x14ac:dyDescent="0.3">
      <c r="A70" s="47" t="s">
        <v>1281</v>
      </c>
      <c r="B70" s="47" t="s">
        <v>684</v>
      </c>
      <c r="C70" s="47">
        <f t="shared" si="1"/>
        <v>2017</v>
      </c>
      <c r="D70" s="47">
        <f>MONTH(Table2[[#This Row],[Purchase Date]])</f>
        <v>10</v>
      </c>
      <c r="E70" s="52">
        <v>43032</v>
      </c>
      <c r="F70" s="47" t="s">
        <v>1164</v>
      </c>
      <c r="G70" s="49">
        <v>663.46</v>
      </c>
      <c r="H70" s="47" t="s">
        <v>1176</v>
      </c>
      <c r="I70" s="47" t="s">
        <v>1189</v>
      </c>
      <c r="J70" s="47" t="s">
        <v>1179</v>
      </c>
    </row>
    <row r="71" spans="1:10" ht="15.6" x14ac:dyDescent="0.3">
      <c r="A71" s="47" t="s">
        <v>1323</v>
      </c>
      <c r="B71" s="47" t="s">
        <v>773</v>
      </c>
      <c r="C71" s="47">
        <f t="shared" si="1"/>
        <v>2017</v>
      </c>
      <c r="D71" s="47">
        <f>MONTH(Table2[[#This Row],[Purchase Date]])</f>
        <v>10</v>
      </c>
      <c r="E71" s="52">
        <v>43039</v>
      </c>
      <c r="F71" s="47" t="s">
        <v>1167</v>
      </c>
      <c r="G71" s="49">
        <v>93.84</v>
      </c>
      <c r="H71" s="47" t="s">
        <v>1171</v>
      </c>
      <c r="I71" s="47" t="s">
        <v>1202</v>
      </c>
      <c r="J71" s="47" t="s">
        <v>1255</v>
      </c>
    </row>
    <row r="72" spans="1:10" ht="15.6" x14ac:dyDescent="0.3">
      <c r="A72" s="47" t="s">
        <v>1335</v>
      </c>
      <c r="B72" s="47" t="s">
        <v>800</v>
      </c>
      <c r="C72" s="47">
        <f t="shared" si="1"/>
        <v>2017</v>
      </c>
      <c r="D72" s="47">
        <f>MONTH(Table2[[#This Row],[Purchase Date]])</f>
        <v>11</v>
      </c>
      <c r="E72" s="52">
        <v>43061</v>
      </c>
      <c r="F72" s="47" t="s">
        <v>1166</v>
      </c>
      <c r="G72" s="49">
        <v>1800.11</v>
      </c>
      <c r="H72" s="47" t="s">
        <v>1171</v>
      </c>
      <c r="I72" s="47" t="s">
        <v>1178</v>
      </c>
      <c r="J72" s="47" t="s">
        <v>1179</v>
      </c>
    </row>
    <row r="73" spans="1:10" ht="15.6" x14ac:dyDescent="0.3">
      <c r="A73" s="47" t="s">
        <v>1473</v>
      </c>
      <c r="B73" s="47" t="s">
        <v>1141</v>
      </c>
      <c r="C73" s="47">
        <f t="shared" si="1"/>
        <v>2017</v>
      </c>
      <c r="D73" s="47">
        <f>MONTH(Table2[[#This Row],[Purchase Date]])</f>
        <v>12</v>
      </c>
      <c r="E73" s="52">
        <v>43075</v>
      </c>
      <c r="F73" s="47" t="s">
        <v>1170</v>
      </c>
      <c r="G73" s="49">
        <v>1477.06</v>
      </c>
      <c r="H73" s="47" t="s">
        <v>1171</v>
      </c>
      <c r="I73" s="47" t="s">
        <v>1178</v>
      </c>
      <c r="J73" s="47" t="s">
        <v>1255</v>
      </c>
    </row>
    <row r="74" spans="1:10" ht="15.6" x14ac:dyDescent="0.3">
      <c r="A74" s="47" t="s">
        <v>1369</v>
      </c>
      <c r="B74" s="47" t="s">
        <v>890</v>
      </c>
      <c r="C74" s="47">
        <f t="shared" si="1"/>
        <v>2017</v>
      </c>
      <c r="D74" s="47">
        <f>MONTH(Table2[[#This Row],[Purchase Date]])</f>
        <v>12</v>
      </c>
      <c r="E74" s="52">
        <v>43088</v>
      </c>
      <c r="F74" s="47" t="s">
        <v>1160</v>
      </c>
      <c r="G74" s="49">
        <v>674.37</v>
      </c>
      <c r="H74" s="47" t="s">
        <v>1174</v>
      </c>
      <c r="I74" s="47" t="s">
        <v>1198</v>
      </c>
      <c r="J74" s="47" t="s">
        <v>1185</v>
      </c>
    </row>
    <row r="75" spans="1:10" ht="15.6" x14ac:dyDescent="0.3">
      <c r="A75" s="47" t="s">
        <v>1367</v>
      </c>
      <c r="B75" s="47" t="s">
        <v>884</v>
      </c>
      <c r="C75" s="47">
        <f t="shared" si="1"/>
        <v>2017</v>
      </c>
      <c r="D75" s="47">
        <f>MONTH(Table2[[#This Row],[Purchase Date]])</f>
        <v>12</v>
      </c>
      <c r="E75" s="52">
        <v>43089</v>
      </c>
      <c r="F75" s="47" t="s">
        <v>1160</v>
      </c>
      <c r="G75" s="49">
        <v>1918.59</v>
      </c>
      <c r="H75" s="47" t="s">
        <v>1176</v>
      </c>
      <c r="I75" s="47" t="s">
        <v>1201</v>
      </c>
      <c r="J75" s="47" t="s">
        <v>1185</v>
      </c>
    </row>
    <row r="76" spans="1:10" ht="15.6" x14ac:dyDescent="0.3">
      <c r="A76" s="47" t="s">
        <v>1280</v>
      </c>
      <c r="B76" s="47" t="s">
        <v>683</v>
      </c>
      <c r="C76" s="47">
        <f t="shared" si="1"/>
        <v>2017</v>
      </c>
      <c r="D76" s="47">
        <f>MONTH(Table2[[#This Row],[Purchase Date]])</f>
        <v>12</v>
      </c>
      <c r="E76" s="52">
        <v>43095</v>
      </c>
      <c r="F76" s="47" t="s">
        <v>1152</v>
      </c>
      <c r="G76" s="49">
        <v>1932.32</v>
      </c>
      <c r="H76" s="47" t="s">
        <v>1176</v>
      </c>
      <c r="I76" s="47" t="s">
        <v>1195</v>
      </c>
      <c r="J76" s="47" t="s">
        <v>1255</v>
      </c>
    </row>
    <row r="77" spans="1:10" ht="15.6" x14ac:dyDescent="0.3">
      <c r="A77" s="47" t="s">
        <v>1453</v>
      </c>
      <c r="B77" s="47" t="s">
        <v>1059</v>
      </c>
      <c r="C77" s="47">
        <f t="shared" si="1"/>
        <v>2018</v>
      </c>
      <c r="D77" s="47">
        <f>MONTH(Table2[[#This Row],[Purchase Date]])</f>
        <v>1</v>
      </c>
      <c r="E77" s="52">
        <v>43122</v>
      </c>
      <c r="F77" s="47" t="s">
        <v>1169</v>
      </c>
      <c r="G77" s="49">
        <v>652.52</v>
      </c>
      <c r="H77" s="47" t="s">
        <v>1176</v>
      </c>
      <c r="I77" s="47" t="s">
        <v>1181</v>
      </c>
      <c r="J77" s="47" t="s">
        <v>1179</v>
      </c>
    </row>
    <row r="78" spans="1:10" ht="15.6" x14ac:dyDescent="0.3">
      <c r="A78" s="47" t="s">
        <v>1423</v>
      </c>
      <c r="B78" s="47" t="s">
        <v>990</v>
      </c>
      <c r="C78" s="47">
        <f t="shared" si="1"/>
        <v>2018</v>
      </c>
      <c r="D78" s="47">
        <f>MONTH(Table2[[#This Row],[Purchase Date]])</f>
        <v>2</v>
      </c>
      <c r="E78" s="52">
        <v>43153</v>
      </c>
      <c r="F78" s="47" t="s">
        <v>1163</v>
      </c>
      <c r="G78" s="49">
        <v>1096.1600000000001</v>
      </c>
      <c r="H78" s="47" t="s">
        <v>1171</v>
      </c>
      <c r="I78" s="47" t="s">
        <v>1181</v>
      </c>
      <c r="J78" s="47" t="s">
        <v>1255</v>
      </c>
    </row>
    <row r="79" spans="1:10" ht="15.6" x14ac:dyDescent="0.3">
      <c r="A79" s="47" t="s">
        <v>1344</v>
      </c>
      <c r="B79" s="47" t="s">
        <v>825</v>
      </c>
      <c r="C79" s="47">
        <f t="shared" si="1"/>
        <v>2018</v>
      </c>
      <c r="D79" s="47">
        <f>MONTH(Table2[[#This Row],[Purchase Date]])</f>
        <v>2</v>
      </c>
      <c r="E79" s="52">
        <v>43154</v>
      </c>
      <c r="F79" s="47" t="s">
        <v>1169</v>
      </c>
      <c r="G79" s="49">
        <v>425.99</v>
      </c>
      <c r="H79" s="47" t="s">
        <v>1171</v>
      </c>
      <c r="I79" s="47" t="s">
        <v>1186</v>
      </c>
      <c r="J79" s="47" t="s">
        <v>1179</v>
      </c>
    </row>
    <row r="80" spans="1:10" ht="15.6" x14ac:dyDescent="0.3">
      <c r="A80" s="47" t="s">
        <v>1397</v>
      </c>
      <c r="B80" s="47" t="s">
        <v>940</v>
      </c>
      <c r="C80" s="47">
        <f t="shared" si="1"/>
        <v>2018</v>
      </c>
      <c r="D80" s="47">
        <f>MONTH(Table2[[#This Row],[Purchase Date]])</f>
        <v>2</v>
      </c>
      <c r="E80" s="52">
        <v>43156</v>
      </c>
      <c r="F80" s="47" t="s">
        <v>1163</v>
      </c>
      <c r="G80" s="49">
        <v>1094.8399999999999</v>
      </c>
      <c r="H80" s="47" t="s">
        <v>1176</v>
      </c>
      <c r="I80" s="47" t="s">
        <v>1201</v>
      </c>
      <c r="J80" s="47" t="s">
        <v>1185</v>
      </c>
    </row>
    <row r="81" spans="1:10" ht="15.6" x14ac:dyDescent="0.3">
      <c r="A81" s="47" t="s">
        <v>1292</v>
      </c>
      <c r="B81" s="47" t="s">
        <v>710</v>
      </c>
      <c r="C81" s="47">
        <f t="shared" si="1"/>
        <v>2018</v>
      </c>
      <c r="D81" s="47">
        <f>MONTH(Table2[[#This Row],[Purchase Date]])</f>
        <v>3</v>
      </c>
      <c r="E81" s="52">
        <v>43183</v>
      </c>
      <c r="F81" s="47" t="s">
        <v>1169</v>
      </c>
      <c r="G81" s="49">
        <v>1662.67</v>
      </c>
      <c r="H81" s="47" t="s">
        <v>1176</v>
      </c>
      <c r="I81" s="47" t="s">
        <v>1178</v>
      </c>
      <c r="J81" s="47" t="s">
        <v>1255</v>
      </c>
    </row>
    <row r="82" spans="1:10" ht="15.6" x14ac:dyDescent="0.3">
      <c r="A82" s="47" t="s">
        <v>1437</v>
      </c>
      <c r="B82" s="47" t="s">
        <v>1027</v>
      </c>
      <c r="C82" s="47">
        <f t="shared" si="1"/>
        <v>2018</v>
      </c>
      <c r="D82" s="47">
        <f>MONTH(Table2[[#This Row],[Purchase Date]])</f>
        <v>5</v>
      </c>
      <c r="E82" s="52">
        <v>43226</v>
      </c>
      <c r="F82" s="47" t="s">
        <v>1170</v>
      </c>
      <c r="G82" s="49">
        <v>1246.83</v>
      </c>
      <c r="H82" s="47" t="s">
        <v>1171</v>
      </c>
      <c r="I82" s="47" t="s">
        <v>1189</v>
      </c>
      <c r="J82" s="47" t="s">
        <v>1185</v>
      </c>
    </row>
    <row r="83" spans="1:10" ht="15.6" x14ac:dyDescent="0.3">
      <c r="A83" s="47" t="s">
        <v>1451</v>
      </c>
      <c r="B83" s="47" t="s">
        <v>1057</v>
      </c>
      <c r="C83" s="47">
        <f t="shared" si="1"/>
        <v>2018</v>
      </c>
      <c r="D83" s="47">
        <f>MONTH(Table2[[#This Row],[Purchase Date]])</f>
        <v>9</v>
      </c>
      <c r="E83" s="52">
        <v>43345</v>
      </c>
      <c r="F83" s="47" t="s">
        <v>1152</v>
      </c>
      <c r="G83" s="49">
        <v>1857.16</v>
      </c>
      <c r="H83" s="47" t="s">
        <v>1176</v>
      </c>
      <c r="I83" s="47" t="s">
        <v>1181</v>
      </c>
      <c r="J83" s="47" t="s">
        <v>1179</v>
      </c>
    </row>
    <row r="84" spans="1:10" ht="15.6" x14ac:dyDescent="0.3">
      <c r="A84" s="47" t="s">
        <v>1450</v>
      </c>
      <c r="B84" s="47" t="s">
        <v>1054</v>
      </c>
      <c r="C84" s="47">
        <f t="shared" si="1"/>
        <v>2018</v>
      </c>
      <c r="D84" s="47">
        <f>MONTH(Table2[[#This Row],[Purchase Date]])</f>
        <v>9</v>
      </c>
      <c r="E84" s="52">
        <v>43354</v>
      </c>
      <c r="F84" s="47" t="s">
        <v>1169</v>
      </c>
      <c r="G84" s="49">
        <v>1444.23</v>
      </c>
      <c r="H84" s="47" t="s">
        <v>1171</v>
      </c>
      <c r="I84" s="47" t="s">
        <v>1178</v>
      </c>
      <c r="J84" s="47" t="s">
        <v>1179</v>
      </c>
    </row>
    <row r="85" spans="1:10" ht="15.6" x14ac:dyDescent="0.3">
      <c r="A85" s="47" t="s">
        <v>1366</v>
      </c>
      <c r="B85" s="47" t="s">
        <v>883</v>
      </c>
      <c r="C85" s="47">
        <f t="shared" si="1"/>
        <v>2018</v>
      </c>
      <c r="D85" s="47">
        <f>MONTH(Table2[[#This Row],[Purchase Date]])</f>
        <v>9</v>
      </c>
      <c r="E85" s="52">
        <v>43362</v>
      </c>
      <c r="F85" s="47" t="s">
        <v>1155</v>
      </c>
      <c r="G85" s="49">
        <v>687.71</v>
      </c>
      <c r="H85" s="47" t="s">
        <v>1176</v>
      </c>
      <c r="I85" s="47" t="s">
        <v>1178</v>
      </c>
      <c r="J85" s="47" t="s">
        <v>1179</v>
      </c>
    </row>
    <row r="86" spans="1:10" ht="15.6" x14ac:dyDescent="0.3">
      <c r="A86" s="47" t="s">
        <v>1416</v>
      </c>
      <c r="B86" s="47" t="s">
        <v>971</v>
      </c>
      <c r="C86" s="47">
        <f t="shared" si="1"/>
        <v>2018</v>
      </c>
      <c r="D86" s="47">
        <f>MONTH(Table2[[#This Row],[Purchase Date]])</f>
        <v>10</v>
      </c>
      <c r="E86" s="52">
        <v>43387</v>
      </c>
      <c r="F86" s="47" t="s">
        <v>1169</v>
      </c>
      <c r="G86" s="49">
        <v>1001.36</v>
      </c>
      <c r="H86" s="47" t="s">
        <v>1176</v>
      </c>
      <c r="I86" s="47" t="s">
        <v>1181</v>
      </c>
      <c r="J86" s="47" t="s">
        <v>1179</v>
      </c>
    </row>
    <row r="87" spans="1:10" ht="15.6" x14ac:dyDescent="0.3">
      <c r="A87" s="47" t="s">
        <v>1372</v>
      </c>
      <c r="B87" s="47" t="s">
        <v>896</v>
      </c>
      <c r="C87" s="47">
        <f t="shared" si="1"/>
        <v>2018</v>
      </c>
      <c r="D87" s="47">
        <f>MONTH(Table2[[#This Row],[Purchase Date]])</f>
        <v>10</v>
      </c>
      <c r="E87" s="52">
        <v>43395</v>
      </c>
      <c r="F87" s="47" t="s">
        <v>1163</v>
      </c>
      <c r="G87" s="49">
        <v>1663.19</v>
      </c>
      <c r="H87" s="47" t="s">
        <v>1174</v>
      </c>
      <c r="I87" s="47" t="s">
        <v>1184</v>
      </c>
      <c r="J87" s="47" t="s">
        <v>1179</v>
      </c>
    </row>
    <row r="88" spans="1:10" ht="15.6" x14ac:dyDescent="0.3">
      <c r="A88" s="47" t="s">
        <v>1301</v>
      </c>
      <c r="B88" s="47" t="s">
        <v>728</v>
      </c>
      <c r="C88" s="47">
        <f t="shared" si="1"/>
        <v>2018</v>
      </c>
      <c r="D88" s="47">
        <f>MONTH(Table2[[#This Row],[Purchase Date]])</f>
        <v>11</v>
      </c>
      <c r="E88" s="52">
        <v>43416</v>
      </c>
      <c r="F88" s="47" t="s">
        <v>1169</v>
      </c>
      <c r="G88" s="49">
        <v>71.400000000000006</v>
      </c>
      <c r="H88" s="47" t="s">
        <v>1176</v>
      </c>
      <c r="I88" s="47" t="s">
        <v>1202</v>
      </c>
      <c r="J88" s="47" t="s">
        <v>1179</v>
      </c>
    </row>
    <row r="89" spans="1:10" ht="15.6" x14ac:dyDescent="0.3">
      <c r="A89" s="47" t="s">
        <v>1420</v>
      </c>
      <c r="B89" s="47" t="s">
        <v>984</v>
      </c>
      <c r="C89" s="47">
        <f t="shared" si="1"/>
        <v>2018</v>
      </c>
      <c r="D89" s="47">
        <f>MONTH(Table2[[#This Row],[Purchase Date]])</f>
        <v>11</v>
      </c>
      <c r="E89" s="52">
        <v>43422</v>
      </c>
      <c r="F89" s="47" t="s">
        <v>1167</v>
      </c>
      <c r="G89" s="49">
        <v>1590.62</v>
      </c>
      <c r="H89" s="47" t="s">
        <v>1171</v>
      </c>
      <c r="I89" s="47" t="s">
        <v>1184</v>
      </c>
      <c r="J89" s="47" t="s">
        <v>1255</v>
      </c>
    </row>
    <row r="90" spans="1:10" ht="15.6" x14ac:dyDescent="0.3">
      <c r="A90" s="47" t="s">
        <v>1391</v>
      </c>
      <c r="B90" s="47" t="s">
        <v>929</v>
      </c>
      <c r="C90" s="47">
        <f t="shared" si="1"/>
        <v>2018</v>
      </c>
      <c r="D90" s="47">
        <f>MONTH(Table2[[#This Row],[Purchase Date]])</f>
        <v>11</v>
      </c>
      <c r="E90" s="52">
        <v>43431</v>
      </c>
      <c r="F90" s="47" t="s">
        <v>1152</v>
      </c>
      <c r="G90" s="49">
        <v>1255.78</v>
      </c>
      <c r="H90" s="47" t="s">
        <v>1171</v>
      </c>
      <c r="I90" s="47" t="s">
        <v>1198</v>
      </c>
      <c r="J90" s="47" t="s">
        <v>1255</v>
      </c>
    </row>
    <row r="91" spans="1:10" ht="15.6" x14ac:dyDescent="0.3">
      <c r="A91" s="47" t="s">
        <v>1448</v>
      </c>
      <c r="B91" s="47" t="s">
        <v>1047</v>
      </c>
      <c r="C91" s="47">
        <f t="shared" si="1"/>
        <v>2018</v>
      </c>
      <c r="D91" s="47">
        <f>MONTH(Table2[[#This Row],[Purchase Date]])</f>
        <v>12</v>
      </c>
      <c r="E91" s="52">
        <v>43440</v>
      </c>
      <c r="F91" s="47" t="s">
        <v>1170</v>
      </c>
      <c r="G91" s="49">
        <v>1153.26</v>
      </c>
      <c r="H91" s="47" t="s">
        <v>1176</v>
      </c>
      <c r="I91" s="47" t="s">
        <v>1181</v>
      </c>
      <c r="J91" s="47" t="s">
        <v>1179</v>
      </c>
    </row>
    <row r="92" spans="1:10" ht="15.6" x14ac:dyDescent="0.3">
      <c r="A92" s="47" t="s">
        <v>1384</v>
      </c>
      <c r="B92" s="47" t="s">
        <v>920</v>
      </c>
      <c r="C92" s="47">
        <f t="shared" si="1"/>
        <v>2018</v>
      </c>
      <c r="D92" s="47">
        <f>MONTH(Table2[[#This Row],[Purchase Date]])</f>
        <v>12</v>
      </c>
      <c r="E92" s="52">
        <v>43453</v>
      </c>
      <c r="F92" s="47" t="s">
        <v>1167</v>
      </c>
      <c r="G92" s="49">
        <v>1813.62</v>
      </c>
      <c r="H92" s="47" t="s">
        <v>1171</v>
      </c>
      <c r="I92" s="47" t="s">
        <v>1202</v>
      </c>
      <c r="J92" s="47" t="s">
        <v>1185</v>
      </c>
    </row>
    <row r="93" spans="1:10" ht="15.6" x14ac:dyDescent="0.3">
      <c r="A93" s="47" t="s">
        <v>1385</v>
      </c>
      <c r="B93" s="47" t="s">
        <v>922</v>
      </c>
      <c r="C93" s="47">
        <f t="shared" si="1"/>
        <v>2019</v>
      </c>
      <c r="D93" s="47">
        <f>MONTH(Table2[[#This Row],[Purchase Date]])</f>
        <v>1</v>
      </c>
      <c r="E93" s="52">
        <v>43474</v>
      </c>
      <c r="F93" s="47" t="s">
        <v>1166</v>
      </c>
      <c r="G93" s="49">
        <v>1810.79</v>
      </c>
      <c r="H93" s="47" t="s">
        <v>1176</v>
      </c>
      <c r="I93" s="47" t="s">
        <v>1195</v>
      </c>
      <c r="J93" s="47" t="s">
        <v>1179</v>
      </c>
    </row>
    <row r="94" spans="1:10" ht="15.6" x14ac:dyDescent="0.3">
      <c r="A94" s="47" t="s">
        <v>1362</v>
      </c>
      <c r="B94" s="47" t="s">
        <v>870</v>
      </c>
      <c r="C94" s="47">
        <f t="shared" si="1"/>
        <v>2019</v>
      </c>
      <c r="D94" s="47">
        <f>MONTH(Table2[[#This Row],[Purchase Date]])</f>
        <v>2</v>
      </c>
      <c r="E94" s="52">
        <v>43503</v>
      </c>
      <c r="F94" s="47" t="s">
        <v>1167</v>
      </c>
      <c r="G94" s="49">
        <v>1928.75</v>
      </c>
      <c r="H94" s="47" t="s">
        <v>1176</v>
      </c>
      <c r="I94" s="47" t="s">
        <v>1178</v>
      </c>
      <c r="J94" s="47" t="s">
        <v>1179</v>
      </c>
    </row>
    <row r="95" spans="1:10" ht="15.6" x14ac:dyDescent="0.3">
      <c r="A95" s="47" t="s">
        <v>1378</v>
      </c>
      <c r="B95" s="47" t="s">
        <v>906</v>
      </c>
      <c r="C95" s="47">
        <f t="shared" si="1"/>
        <v>2019</v>
      </c>
      <c r="D95" s="47">
        <f>MONTH(Table2[[#This Row],[Purchase Date]])</f>
        <v>3</v>
      </c>
      <c r="E95" s="52">
        <v>43537</v>
      </c>
      <c r="F95" s="47" t="s">
        <v>1160</v>
      </c>
      <c r="G95" s="49">
        <v>508.65</v>
      </c>
      <c r="H95" s="47" t="s">
        <v>1171</v>
      </c>
      <c r="I95" s="47" t="s">
        <v>1201</v>
      </c>
      <c r="J95" s="47" t="s">
        <v>1255</v>
      </c>
    </row>
    <row r="96" spans="1:10" ht="15.6" x14ac:dyDescent="0.3">
      <c r="A96" s="47" t="s">
        <v>1433</v>
      </c>
      <c r="B96" s="47" t="s">
        <v>1016</v>
      </c>
      <c r="C96" s="47">
        <f t="shared" si="1"/>
        <v>2019</v>
      </c>
      <c r="D96" s="47">
        <f>MONTH(Table2[[#This Row],[Purchase Date]])</f>
        <v>4</v>
      </c>
      <c r="E96" s="52">
        <v>43581</v>
      </c>
      <c r="F96" s="47" t="s">
        <v>1160</v>
      </c>
      <c r="G96" s="49">
        <v>179.31</v>
      </c>
      <c r="H96" s="47" t="s">
        <v>1174</v>
      </c>
      <c r="I96" s="47" t="s">
        <v>1186</v>
      </c>
      <c r="J96" s="47" t="s">
        <v>1185</v>
      </c>
    </row>
    <row r="97" spans="1:10" ht="15.6" x14ac:dyDescent="0.3">
      <c r="A97" s="47" t="s">
        <v>1395</v>
      </c>
      <c r="B97" s="47" t="s">
        <v>934</v>
      </c>
      <c r="C97" s="47">
        <f t="shared" si="1"/>
        <v>2019</v>
      </c>
      <c r="D97" s="47">
        <f>MONTH(Table2[[#This Row],[Purchase Date]])</f>
        <v>4</v>
      </c>
      <c r="E97" s="52">
        <v>43585</v>
      </c>
      <c r="F97" s="47" t="s">
        <v>1164</v>
      </c>
      <c r="G97" s="49">
        <v>664.17</v>
      </c>
      <c r="H97" s="47" t="s">
        <v>1176</v>
      </c>
      <c r="I97" s="47" t="s">
        <v>1195</v>
      </c>
      <c r="J97" s="47" t="s">
        <v>1179</v>
      </c>
    </row>
    <row r="98" spans="1:10" ht="15.6" x14ac:dyDescent="0.3">
      <c r="A98" s="47" t="s">
        <v>1291</v>
      </c>
      <c r="B98" s="47" t="s">
        <v>708</v>
      </c>
      <c r="C98" s="47">
        <f t="shared" si="1"/>
        <v>2019</v>
      </c>
      <c r="D98" s="47">
        <f>MONTH(Table2[[#This Row],[Purchase Date]])</f>
        <v>6</v>
      </c>
      <c r="E98" s="52">
        <v>43618</v>
      </c>
      <c r="F98" s="47" t="s">
        <v>1163</v>
      </c>
      <c r="G98" s="49">
        <v>1864.77</v>
      </c>
      <c r="H98" s="47" t="s">
        <v>1171</v>
      </c>
      <c r="I98" s="47" t="s">
        <v>1201</v>
      </c>
      <c r="J98" s="47" t="s">
        <v>1179</v>
      </c>
    </row>
    <row r="99" spans="1:10" ht="15.6" x14ac:dyDescent="0.3">
      <c r="A99" s="47" t="s">
        <v>1264</v>
      </c>
      <c r="B99" s="47" t="s">
        <v>631</v>
      </c>
      <c r="C99" s="47">
        <f t="shared" si="1"/>
        <v>2019</v>
      </c>
      <c r="D99" s="47">
        <f>MONTH(Table2[[#This Row],[Purchase Date]])</f>
        <v>6</v>
      </c>
      <c r="E99" s="52">
        <v>43644</v>
      </c>
      <c r="F99" s="47" t="s">
        <v>1169</v>
      </c>
      <c r="G99" s="49">
        <v>1592.57</v>
      </c>
      <c r="H99" s="47" t="s">
        <v>1171</v>
      </c>
      <c r="I99" s="47" t="s">
        <v>1184</v>
      </c>
      <c r="J99" s="47" t="s">
        <v>1179</v>
      </c>
    </row>
    <row r="100" spans="1:10" ht="15.6" x14ac:dyDescent="0.3">
      <c r="A100" s="47" t="s">
        <v>1388</v>
      </c>
      <c r="B100" s="47" t="s">
        <v>1136</v>
      </c>
      <c r="C100" s="47">
        <f t="shared" si="1"/>
        <v>2019</v>
      </c>
      <c r="D100" s="47">
        <f>MONTH(Table2[[#This Row],[Purchase Date]])</f>
        <v>6</v>
      </c>
      <c r="E100" s="52">
        <v>43645</v>
      </c>
      <c r="F100" s="47" t="s">
        <v>1163</v>
      </c>
      <c r="G100" s="49">
        <v>537.16999999999996</v>
      </c>
      <c r="H100" s="47" t="s">
        <v>1171</v>
      </c>
      <c r="I100" s="47" t="s">
        <v>1184</v>
      </c>
      <c r="J100" s="47" t="s">
        <v>1255</v>
      </c>
    </row>
    <row r="101" spans="1:10" ht="15.6" x14ac:dyDescent="0.3">
      <c r="A101" s="47" t="s">
        <v>1274</v>
      </c>
      <c r="B101" s="47" t="s">
        <v>668</v>
      </c>
      <c r="C101" s="47">
        <f t="shared" si="1"/>
        <v>2019</v>
      </c>
      <c r="D101" s="47">
        <f>MONTH(Table2[[#This Row],[Purchase Date]])</f>
        <v>7</v>
      </c>
      <c r="E101" s="52">
        <v>43658</v>
      </c>
      <c r="F101" s="47" t="s">
        <v>1167</v>
      </c>
      <c r="G101" s="49">
        <v>1849.08</v>
      </c>
      <c r="H101" s="47" t="s">
        <v>1176</v>
      </c>
      <c r="I101" s="47" t="s">
        <v>1178</v>
      </c>
      <c r="J101" s="47" t="s">
        <v>1179</v>
      </c>
    </row>
    <row r="102" spans="1:10" ht="15.6" x14ac:dyDescent="0.3">
      <c r="A102" s="47" t="s">
        <v>1410</v>
      </c>
      <c r="B102" s="47" t="s">
        <v>964</v>
      </c>
      <c r="C102" s="47">
        <f t="shared" si="1"/>
        <v>2019</v>
      </c>
      <c r="D102" s="47">
        <f>MONTH(Table2[[#This Row],[Purchase Date]])</f>
        <v>7</v>
      </c>
      <c r="E102" s="52">
        <v>43658</v>
      </c>
      <c r="F102" s="47" t="s">
        <v>1155</v>
      </c>
      <c r="G102" s="49">
        <v>483.68</v>
      </c>
      <c r="H102" s="47" t="s">
        <v>1171</v>
      </c>
      <c r="I102" s="47" t="s">
        <v>1199</v>
      </c>
      <c r="J102" s="47" t="s">
        <v>1255</v>
      </c>
    </row>
    <row r="103" spans="1:10" ht="15.6" x14ac:dyDescent="0.3">
      <c r="A103" s="47" t="s">
        <v>1345</v>
      </c>
      <c r="B103" s="47" t="s">
        <v>828</v>
      </c>
      <c r="C103" s="47">
        <f t="shared" si="1"/>
        <v>2019</v>
      </c>
      <c r="D103" s="47">
        <f>MONTH(Table2[[#This Row],[Purchase Date]])</f>
        <v>7</v>
      </c>
      <c r="E103" s="52">
        <v>43662</v>
      </c>
      <c r="F103" s="47" t="s">
        <v>1169</v>
      </c>
      <c r="G103" s="49">
        <v>1136.05</v>
      </c>
      <c r="H103" s="47" t="s">
        <v>1174</v>
      </c>
      <c r="I103" s="47" t="s">
        <v>1189</v>
      </c>
      <c r="J103" s="47" t="s">
        <v>1179</v>
      </c>
    </row>
    <row r="104" spans="1:10" ht="15.6" x14ac:dyDescent="0.3">
      <c r="A104" s="47" t="s">
        <v>1285</v>
      </c>
      <c r="B104" s="47" t="s">
        <v>690</v>
      </c>
      <c r="C104" s="47">
        <f t="shared" si="1"/>
        <v>2019</v>
      </c>
      <c r="D104" s="47">
        <f>MONTH(Table2[[#This Row],[Purchase Date]])</f>
        <v>7</v>
      </c>
      <c r="E104" s="52">
        <v>43671</v>
      </c>
      <c r="F104" s="47" t="s">
        <v>1163</v>
      </c>
      <c r="G104" s="49">
        <v>1228.1300000000001</v>
      </c>
      <c r="H104" s="47" t="s">
        <v>1176</v>
      </c>
      <c r="I104" s="47" t="s">
        <v>1199</v>
      </c>
      <c r="J104" s="47" t="s">
        <v>1179</v>
      </c>
    </row>
    <row r="105" spans="1:10" ht="15.6" x14ac:dyDescent="0.3">
      <c r="A105" s="47" t="s">
        <v>1431</v>
      </c>
      <c r="B105" s="47" t="s">
        <v>1009</v>
      </c>
      <c r="C105" s="47">
        <f t="shared" si="1"/>
        <v>2019</v>
      </c>
      <c r="D105" s="47">
        <f>MONTH(Table2[[#This Row],[Purchase Date]])</f>
        <v>7</v>
      </c>
      <c r="E105" s="52">
        <v>43673</v>
      </c>
      <c r="F105" s="47" t="s">
        <v>1169</v>
      </c>
      <c r="G105" s="49">
        <v>224.47</v>
      </c>
      <c r="H105" s="47" t="s">
        <v>1174</v>
      </c>
      <c r="I105" s="47" t="s">
        <v>1186</v>
      </c>
      <c r="J105" s="47" t="s">
        <v>1185</v>
      </c>
    </row>
    <row r="106" spans="1:10" ht="15.6" x14ac:dyDescent="0.3">
      <c r="A106" s="47" t="s">
        <v>1283</v>
      </c>
      <c r="B106" s="47" t="s">
        <v>686</v>
      </c>
      <c r="C106" s="47">
        <f t="shared" si="1"/>
        <v>2019</v>
      </c>
      <c r="D106" s="47">
        <f>MONTH(Table2[[#This Row],[Purchase Date]])</f>
        <v>7</v>
      </c>
      <c r="E106" s="52">
        <v>43674</v>
      </c>
      <c r="F106" s="47" t="s">
        <v>1160</v>
      </c>
      <c r="G106" s="49">
        <v>387.65</v>
      </c>
      <c r="H106" s="47" t="s">
        <v>1174</v>
      </c>
      <c r="I106" s="47" t="s">
        <v>1201</v>
      </c>
      <c r="J106" s="47" t="s">
        <v>1179</v>
      </c>
    </row>
    <row r="107" spans="1:10" ht="15.6" x14ac:dyDescent="0.3">
      <c r="A107" s="47" t="s">
        <v>1442</v>
      </c>
      <c r="B107" s="47" t="s">
        <v>1037</v>
      </c>
      <c r="C107" s="47">
        <f t="shared" si="1"/>
        <v>2019</v>
      </c>
      <c r="D107" s="47">
        <f>MONTH(Table2[[#This Row],[Purchase Date]])</f>
        <v>8</v>
      </c>
      <c r="E107" s="52">
        <v>43704</v>
      </c>
      <c r="F107" s="47" t="s">
        <v>1169</v>
      </c>
      <c r="G107" s="49">
        <v>1191.67</v>
      </c>
      <c r="H107" s="47" t="s">
        <v>1176</v>
      </c>
      <c r="I107" s="47" t="s">
        <v>1195</v>
      </c>
      <c r="J107" s="47" t="s">
        <v>1255</v>
      </c>
    </row>
    <row r="108" spans="1:10" ht="15.6" x14ac:dyDescent="0.3">
      <c r="A108" s="47" t="s">
        <v>1456</v>
      </c>
      <c r="B108" s="47" t="s">
        <v>1064</v>
      </c>
      <c r="C108" s="47">
        <f t="shared" si="1"/>
        <v>2019</v>
      </c>
      <c r="D108" s="47">
        <f>MONTH(Table2[[#This Row],[Purchase Date]])</f>
        <v>10</v>
      </c>
      <c r="E108" s="52">
        <v>43744</v>
      </c>
      <c r="F108" s="47" t="s">
        <v>1160</v>
      </c>
      <c r="G108" s="49">
        <v>1678.63</v>
      </c>
      <c r="H108" s="47" t="s">
        <v>1176</v>
      </c>
      <c r="I108" s="47" t="s">
        <v>1198</v>
      </c>
      <c r="J108" s="47" t="s">
        <v>1185</v>
      </c>
    </row>
    <row r="109" spans="1:10" ht="15.6" x14ac:dyDescent="0.3">
      <c r="A109" s="47" t="s">
        <v>1299</v>
      </c>
      <c r="B109" s="47" t="s">
        <v>725</v>
      </c>
      <c r="C109" s="47">
        <f t="shared" si="1"/>
        <v>2019</v>
      </c>
      <c r="D109" s="47">
        <f>MONTH(Table2[[#This Row],[Purchase Date]])</f>
        <v>10</v>
      </c>
      <c r="E109" s="52">
        <v>43748</v>
      </c>
      <c r="F109" s="47" t="s">
        <v>1169</v>
      </c>
      <c r="G109" s="49">
        <v>1687.38</v>
      </c>
      <c r="H109" s="47" t="s">
        <v>1176</v>
      </c>
      <c r="I109" s="47" t="s">
        <v>1186</v>
      </c>
      <c r="J109" s="47" t="s">
        <v>1255</v>
      </c>
    </row>
    <row r="110" spans="1:10" ht="15.6" x14ac:dyDescent="0.3">
      <c r="A110" s="47" t="s">
        <v>1286</v>
      </c>
      <c r="B110" s="47" t="s">
        <v>693</v>
      </c>
      <c r="C110" s="47">
        <f t="shared" si="1"/>
        <v>2019</v>
      </c>
      <c r="D110" s="47">
        <f>MONTH(Table2[[#This Row],[Purchase Date]])</f>
        <v>10</v>
      </c>
      <c r="E110" s="52">
        <v>43758</v>
      </c>
      <c r="F110" s="47" t="s">
        <v>1164</v>
      </c>
      <c r="G110" s="49">
        <v>964.84</v>
      </c>
      <c r="H110" s="47" t="s">
        <v>1176</v>
      </c>
      <c r="I110" s="47" t="s">
        <v>1189</v>
      </c>
      <c r="J110" s="47" t="s">
        <v>1255</v>
      </c>
    </row>
    <row r="111" spans="1:10" ht="15.6" x14ac:dyDescent="0.3">
      <c r="A111" s="47" t="s">
        <v>1330</v>
      </c>
      <c r="B111" s="47" t="s">
        <v>789</v>
      </c>
      <c r="C111" s="47">
        <f t="shared" si="1"/>
        <v>2019</v>
      </c>
      <c r="D111" s="47">
        <f>MONTH(Table2[[#This Row],[Purchase Date]])</f>
        <v>10</v>
      </c>
      <c r="E111" s="52">
        <v>43760</v>
      </c>
      <c r="F111" s="47" t="s">
        <v>1166</v>
      </c>
      <c r="G111" s="49">
        <v>662.86</v>
      </c>
      <c r="H111" s="47" t="s">
        <v>1171</v>
      </c>
      <c r="I111" s="47" t="s">
        <v>1184</v>
      </c>
      <c r="J111" s="47" t="s">
        <v>1179</v>
      </c>
    </row>
    <row r="112" spans="1:10" ht="15.6" x14ac:dyDescent="0.3">
      <c r="A112" s="47" t="s">
        <v>1331</v>
      </c>
      <c r="B112" s="47" t="s">
        <v>790</v>
      </c>
      <c r="C112" s="47">
        <f t="shared" si="1"/>
        <v>2019</v>
      </c>
      <c r="D112" s="47">
        <f>MONTH(Table2[[#This Row],[Purchase Date]])</f>
        <v>10</v>
      </c>
      <c r="E112" s="52">
        <v>43761</v>
      </c>
      <c r="F112" s="47" t="s">
        <v>1169</v>
      </c>
      <c r="G112" s="49">
        <v>828.79</v>
      </c>
      <c r="H112" s="47" t="s">
        <v>1176</v>
      </c>
      <c r="I112" s="47" t="s">
        <v>1198</v>
      </c>
      <c r="J112" s="47" t="s">
        <v>1185</v>
      </c>
    </row>
    <row r="113" spans="1:10" ht="15.6" x14ac:dyDescent="0.3">
      <c r="A113" s="47" t="s">
        <v>1332</v>
      </c>
      <c r="B113" s="47" t="s">
        <v>791</v>
      </c>
      <c r="C113" s="47">
        <f t="shared" si="1"/>
        <v>2019</v>
      </c>
      <c r="D113" s="47">
        <f>MONTH(Table2[[#This Row],[Purchase Date]])</f>
        <v>10</v>
      </c>
      <c r="E113" s="52">
        <v>43762</v>
      </c>
      <c r="F113" s="47" t="s">
        <v>1167</v>
      </c>
      <c r="G113" s="49">
        <v>1542.74</v>
      </c>
      <c r="H113" s="47" t="s">
        <v>1176</v>
      </c>
      <c r="I113" s="47" t="s">
        <v>1189</v>
      </c>
      <c r="J113" s="47" t="s">
        <v>1255</v>
      </c>
    </row>
    <row r="114" spans="1:10" ht="15.6" x14ac:dyDescent="0.3">
      <c r="A114" s="47" t="s">
        <v>1352</v>
      </c>
      <c r="B114" s="47" t="s">
        <v>850</v>
      </c>
      <c r="C114" s="47">
        <f t="shared" si="1"/>
        <v>2019</v>
      </c>
      <c r="D114" s="47">
        <f>MONTH(Table2[[#This Row],[Purchase Date]])</f>
        <v>10</v>
      </c>
      <c r="E114" s="52">
        <v>43762</v>
      </c>
      <c r="F114" s="47" t="s">
        <v>1167</v>
      </c>
      <c r="G114" s="49">
        <v>1653.38</v>
      </c>
      <c r="H114" s="47" t="s">
        <v>1174</v>
      </c>
      <c r="I114" s="47" t="s">
        <v>1202</v>
      </c>
      <c r="J114" s="47" t="s">
        <v>1185</v>
      </c>
    </row>
    <row r="115" spans="1:10" ht="15.6" x14ac:dyDescent="0.3">
      <c r="A115" s="47" t="s">
        <v>1421</v>
      </c>
      <c r="B115" s="47" t="s">
        <v>986</v>
      </c>
      <c r="C115" s="47">
        <f t="shared" si="1"/>
        <v>2019</v>
      </c>
      <c r="D115" s="47">
        <f>MONTH(Table2[[#This Row],[Purchase Date]])</f>
        <v>11</v>
      </c>
      <c r="E115" s="52">
        <v>43779</v>
      </c>
      <c r="F115" s="47" t="s">
        <v>1163</v>
      </c>
      <c r="G115" s="49">
        <v>739.75</v>
      </c>
      <c r="H115" s="47" t="s">
        <v>1174</v>
      </c>
      <c r="I115" s="47" t="s">
        <v>1198</v>
      </c>
      <c r="J115" s="47" t="s">
        <v>1185</v>
      </c>
    </row>
    <row r="116" spans="1:10" ht="15.6" x14ac:dyDescent="0.3">
      <c r="A116" s="47" t="s">
        <v>1298</v>
      </c>
      <c r="B116" s="47" t="s">
        <v>722</v>
      </c>
      <c r="C116" s="47">
        <f t="shared" si="1"/>
        <v>2020</v>
      </c>
      <c r="D116" s="47">
        <f>MONTH(Table2[[#This Row],[Purchase Date]])</f>
        <v>2</v>
      </c>
      <c r="E116" s="52">
        <v>43867</v>
      </c>
      <c r="F116" s="47" t="s">
        <v>1167</v>
      </c>
      <c r="G116" s="49">
        <v>680.89</v>
      </c>
      <c r="H116" s="47" t="s">
        <v>1171</v>
      </c>
      <c r="I116" s="47" t="s">
        <v>1202</v>
      </c>
      <c r="J116" s="47" t="s">
        <v>1255</v>
      </c>
    </row>
    <row r="117" spans="1:10" ht="15.6" x14ac:dyDescent="0.3">
      <c r="A117" s="47" t="s">
        <v>1282</v>
      </c>
      <c r="B117" s="47" t="s">
        <v>685</v>
      </c>
      <c r="C117" s="47">
        <f t="shared" si="1"/>
        <v>2020</v>
      </c>
      <c r="D117" s="47">
        <f>MONTH(Table2[[#This Row],[Purchase Date]])</f>
        <v>2</v>
      </c>
      <c r="E117" s="52">
        <v>43881</v>
      </c>
      <c r="F117" s="47" t="s">
        <v>1166</v>
      </c>
      <c r="G117" s="49">
        <v>826.44</v>
      </c>
      <c r="H117" s="47" t="s">
        <v>1176</v>
      </c>
      <c r="I117" s="47" t="s">
        <v>1189</v>
      </c>
      <c r="J117" s="47" t="s">
        <v>1179</v>
      </c>
    </row>
    <row r="118" spans="1:10" ht="15.6" x14ac:dyDescent="0.3">
      <c r="A118" s="47" t="s">
        <v>1263</v>
      </c>
      <c r="B118" s="47" t="s">
        <v>629</v>
      </c>
      <c r="C118" s="47">
        <f t="shared" si="1"/>
        <v>2020</v>
      </c>
      <c r="D118" s="47">
        <f>MONTH(Table2[[#This Row],[Purchase Date]])</f>
        <v>2</v>
      </c>
      <c r="E118" s="52">
        <v>43887</v>
      </c>
      <c r="F118" s="47" t="s">
        <v>1166</v>
      </c>
      <c r="G118" s="49">
        <v>1637.88</v>
      </c>
      <c r="H118" s="47" t="s">
        <v>1176</v>
      </c>
      <c r="I118" s="47" t="s">
        <v>1198</v>
      </c>
      <c r="J118" s="47" t="s">
        <v>1185</v>
      </c>
    </row>
    <row r="119" spans="1:10" ht="15.6" x14ac:dyDescent="0.3">
      <c r="A119" s="47" t="s">
        <v>1482</v>
      </c>
      <c r="B119" s="47" t="s">
        <v>1133</v>
      </c>
      <c r="C119" s="47">
        <f t="shared" si="1"/>
        <v>2020</v>
      </c>
      <c r="D119" s="47">
        <f>MONTH(Table2[[#This Row],[Purchase Date]])</f>
        <v>2</v>
      </c>
      <c r="E119" s="52">
        <v>43887</v>
      </c>
      <c r="F119" s="47" t="s">
        <v>1152</v>
      </c>
      <c r="G119" s="49">
        <v>159.91</v>
      </c>
      <c r="H119" s="47" t="s">
        <v>1171</v>
      </c>
      <c r="I119" s="47" t="s">
        <v>1195</v>
      </c>
      <c r="J119" s="47" t="s">
        <v>1185</v>
      </c>
    </row>
    <row r="120" spans="1:10" ht="15.6" x14ac:dyDescent="0.3">
      <c r="A120" s="47" t="s">
        <v>1464</v>
      </c>
      <c r="B120" s="47" t="s">
        <v>1083</v>
      </c>
      <c r="C120" s="47">
        <f t="shared" si="1"/>
        <v>2020</v>
      </c>
      <c r="D120" s="47">
        <f>MONTH(Table2[[#This Row],[Purchase Date]])</f>
        <v>3</v>
      </c>
      <c r="E120" s="52">
        <v>43902</v>
      </c>
      <c r="F120" s="47" t="s">
        <v>1164</v>
      </c>
      <c r="G120" s="49">
        <v>1564.18</v>
      </c>
      <c r="H120" s="47" t="s">
        <v>1176</v>
      </c>
      <c r="I120" s="47" t="s">
        <v>1195</v>
      </c>
      <c r="J120" s="47" t="s">
        <v>1255</v>
      </c>
    </row>
    <row r="121" spans="1:10" ht="15.6" x14ac:dyDescent="0.3">
      <c r="A121" s="47" t="s">
        <v>1327</v>
      </c>
      <c r="B121" s="47" t="s">
        <v>780</v>
      </c>
      <c r="C121" s="47">
        <f t="shared" si="1"/>
        <v>2020</v>
      </c>
      <c r="D121" s="47">
        <f>MONTH(Table2[[#This Row],[Purchase Date]])</f>
        <v>3</v>
      </c>
      <c r="E121" s="52">
        <v>43909</v>
      </c>
      <c r="F121" s="47" t="s">
        <v>1163</v>
      </c>
      <c r="G121" s="49">
        <v>617.09</v>
      </c>
      <c r="H121" s="47" t="s">
        <v>1174</v>
      </c>
      <c r="I121" s="47" t="s">
        <v>1202</v>
      </c>
      <c r="J121" s="47" t="s">
        <v>1179</v>
      </c>
    </row>
    <row r="122" spans="1:10" ht="15.6" x14ac:dyDescent="0.3">
      <c r="A122" s="47" t="s">
        <v>1328</v>
      </c>
      <c r="B122" s="47" t="s">
        <v>782</v>
      </c>
      <c r="C122" s="47">
        <f t="shared" si="1"/>
        <v>2020</v>
      </c>
      <c r="D122" s="47">
        <f>MONTH(Table2[[#This Row],[Purchase Date]])</f>
        <v>3</v>
      </c>
      <c r="E122" s="52">
        <v>43911</v>
      </c>
      <c r="F122" s="47" t="s">
        <v>1163</v>
      </c>
      <c r="G122" s="49">
        <v>1555.13</v>
      </c>
      <c r="H122" s="47" t="s">
        <v>1171</v>
      </c>
      <c r="I122" s="47" t="s">
        <v>1184</v>
      </c>
      <c r="J122" s="47" t="s">
        <v>1179</v>
      </c>
    </row>
    <row r="123" spans="1:10" ht="15.6" x14ac:dyDescent="0.3">
      <c r="A123" s="47" t="s">
        <v>1319</v>
      </c>
      <c r="B123" s="47" t="s">
        <v>765</v>
      </c>
      <c r="C123" s="47">
        <f t="shared" si="1"/>
        <v>2020</v>
      </c>
      <c r="D123" s="47">
        <f>MONTH(Table2[[#This Row],[Purchase Date]])</f>
        <v>4</v>
      </c>
      <c r="E123" s="52">
        <v>43928</v>
      </c>
      <c r="F123" s="47" t="s">
        <v>1170</v>
      </c>
      <c r="G123" s="49">
        <v>1351.69</v>
      </c>
      <c r="H123" s="47" t="s">
        <v>1174</v>
      </c>
      <c r="I123" s="47" t="s">
        <v>1178</v>
      </c>
      <c r="J123" s="47" t="s">
        <v>1255</v>
      </c>
    </row>
    <row r="124" spans="1:10" ht="15.6" x14ac:dyDescent="0.3">
      <c r="A124" s="47" t="s">
        <v>1307</v>
      </c>
      <c r="B124" s="47" t="s">
        <v>735</v>
      </c>
      <c r="C124" s="47">
        <f t="shared" si="1"/>
        <v>2020</v>
      </c>
      <c r="D124" s="47">
        <f>MONTH(Table2[[#This Row],[Purchase Date]])</f>
        <v>4</v>
      </c>
      <c r="E124" s="52">
        <v>43930</v>
      </c>
      <c r="F124" s="47" t="s">
        <v>1163</v>
      </c>
      <c r="G124" s="49">
        <v>1723.47</v>
      </c>
      <c r="H124" s="47" t="s">
        <v>1171</v>
      </c>
      <c r="I124" s="47" t="s">
        <v>1189</v>
      </c>
      <c r="J124" s="47" t="s">
        <v>1255</v>
      </c>
    </row>
    <row r="125" spans="1:10" ht="15.6" x14ac:dyDescent="0.3">
      <c r="A125" s="47" t="s">
        <v>1466</v>
      </c>
      <c r="B125" s="47" t="s">
        <v>1085</v>
      </c>
      <c r="C125" s="47">
        <f t="shared" si="1"/>
        <v>2020</v>
      </c>
      <c r="D125" s="47">
        <f>MONTH(Table2[[#This Row],[Purchase Date]])</f>
        <v>4</v>
      </c>
      <c r="E125" s="52">
        <v>43931</v>
      </c>
      <c r="F125" s="47" t="s">
        <v>1166</v>
      </c>
      <c r="G125" s="49">
        <v>1603.93</v>
      </c>
      <c r="H125" s="47" t="s">
        <v>1174</v>
      </c>
      <c r="I125" s="47" t="s">
        <v>1202</v>
      </c>
      <c r="J125" s="47" t="s">
        <v>1179</v>
      </c>
    </row>
    <row r="126" spans="1:10" ht="15.6" x14ac:dyDescent="0.3">
      <c r="A126" s="47" t="s">
        <v>1338</v>
      </c>
      <c r="B126" s="47" t="s">
        <v>812</v>
      </c>
      <c r="C126" s="47">
        <f t="shared" si="1"/>
        <v>2020</v>
      </c>
      <c r="D126" s="47">
        <f>MONTH(Table2[[#This Row],[Purchase Date]])</f>
        <v>4</v>
      </c>
      <c r="E126" s="52">
        <v>43934</v>
      </c>
      <c r="F126" s="47" t="s">
        <v>1152</v>
      </c>
      <c r="G126" s="49">
        <v>1136.43</v>
      </c>
      <c r="H126" s="47" t="s">
        <v>1176</v>
      </c>
      <c r="I126" s="47" t="s">
        <v>1199</v>
      </c>
      <c r="J126" s="47" t="s">
        <v>1255</v>
      </c>
    </row>
    <row r="127" spans="1:10" ht="15.6" x14ac:dyDescent="0.3">
      <c r="A127" s="47" t="s">
        <v>1339</v>
      </c>
      <c r="B127" s="47" t="s">
        <v>813</v>
      </c>
      <c r="C127" s="47">
        <f t="shared" si="1"/>
        <v>2020</v>
      </c>
      <c r="D127" s="47">
        <f>MONTH(Table2[[#This Row],[Purchase Date]])</f>
        <v>4</v>
      </c>
      <c r="E127" s="52">
        <v>43935</v>
      </c>
      <c r="F127" s="47" t="s">
        <v>1160</v>
      </c>
      <c r="G127" s="49">
        <v>946.58</v>
      </c>
      <c r="H127" s="47" t="s">
        <v>1176</v>
      </c>
      <c r="I127" s="47" t="s">
        <v>1184</v>
      </c>
      <c r="J127" s="47" t="s">
        <v>1255</v>
      </c>
    </row>
    <row r="128" spans="1:10" ht="15.6" x14ac:dyDescent="0.3">
      <c r="A128" s="47" t="s">
        <v>1394</v>
      </c>
      <c r="B128" s="47" t="s">
        <v>933</v>
      </c>
      <c r="C128" s="47">
        <f t="shared" si="1"/>
        <v>2020</v>
      </c>
      <c r="D128" s="47">
        <f>MONTH(Table2[[#This Row],[Purchase Date]])</f>
        <v>6</v>
      </c>
      <c r="E128" s="52">
        <v>43996</v>
      </c>
      <c r="F128" s="47" t="s">
        <v>1164</v>
      </c>
      <c r="G128" s="49">
        <v>1858.51</v>
      </c>
      <c r="H128" s="47" t="s">
        <v>1174</v>
      </c>
      <c r="I128" s="47" t="s">
        <v>1195</v>
      </c>
      <c r="J128" s="47" t="s">
        <v>1185</v>
      </c>
    </row>
    <row r="129" spans="1:10" ht="15.6" x14ac:dyDescent="0.3">
      <c r="A129" s="47" t="s">
        <v>1394</v>
      </c>
      <c r="B129" s="47" t="s">
        <v>1109</v>
      </c>
      <c r="C129" s="47">
        <f t="shared" si="1"/>
        <v>2020</v>
      </c>
      <c r="D129" s="47">
        <f>MONTH(Table2[[#This Row],[Purchase Date]])</f>
        <v>6</v>
      </c>
      <c r="E129" s="52">
        <v>43996</v>
      </c>
      <c r="F129" s="47" t="s">
        <v>1163</v>
      </c>
      <c r="G129" s="49">
        <v>151.72999999999999</v>
      </c>
      <c r="H129" s="47" t="s">
        <v>1171</v>
      </c>
      <c r="I129" s="47" t="s">
        <v>1186</v>
      </c>
      <c r="J129" s="47" t="s">
        <v>1255</v>
      </c>
    </row>
    <row r="130" spans="1:10" ht="15.6" x14ac:dyDescent="0.3">
      <c r="A130" s="47" t="s">
        <v>1447</v>
      </c>
      <c r="B130" s="47" t="s">
        <v>1046</v>
      </c>
      <c r="C130" s="47">
        <f t="shared" si="1"/>
        <v>2020</v>
      </c>
      <c r="D130" s="47">
        <f>MONTH(Table2[[#This Row],[Purchase Date]])</f>
        <v>7</v>
      </c>
      <c r="E130" s="52">
        <v>44018</v>
      </c>
      <c r="F130" s="47" t="s">
        <v>1167</v>
      </c>
      <c r="G130" s="49">
        <v>88.27</v>
      </c>
      <c r="H130" s="47" t="s">
        <v>1176</v>
      </c>
      <c r="I130" s="47" t="s">
        <v>1181</v>
      </c>
      <c r="J130" s="47" t="s">
        <v>1255</v>
      </c>
    </row>
    <row r="131" spans="1:10" ht="15.6" x14ac:dyDescent="0.3">
      <c r="A131" s="47" t="s">
        <v>1268</v>
      </c>
      <c r="B131" s="47" t="s">
        <v>645</v>
      </c>
      <c r="C131" s="47">
        <f t="shared" ref="C131:C194" si="2">YEAR(E131)</f>
        <v>2020</v>
      </c>
      <c r="D131" s="47">
        <f>MONTH(Table2[[#This Row],[Purchase Date]])</f>
        <v>7</v>
      </c>
      <c r="E131" s="52">
        <v>44020</v>
      </c>
      <c r="F131" s="47" t="s">
        <v>1162</v>
      </c>
      <c r="G131" s="49">
        <v>806.94</v>
      </c>
      <c r="H131" s="47" t="s">
        <v>1174</v>
      </c>
      <c r="I131" s="47" t="s">
        <v>1202</v>
      </c>
      <c r="J131" s="47" t="s">
        <v>1179</v>
      </c>
    </row>
    <row r="132" spans="1:10" ht="15.6" x14ac:dyDescent="0.3">
      <c r="A132" s="47" t="s">
        <v>1469</v>
      </c>
      <c r="B132" s="47" t="s">
        <v>1091</v>
      </c>
      <c r="C132" s="47">
        <f t="shared" si="2"/>
        <v>2020</v>
      </c>
      <c r="D132" s="47">
        <f>MONTH(Table2[[#This Row],[Purchase Date]])</f>
        <v>7</v>
      </c>
      <c r="E132" s="52">
        <v>44026</v>
      </c>
      <c r="F132" s="47" t="s">
        <v>1162</v>
      </c>
      <c r="G132" s="49">
        <v>362.61</v>
      </c>
      <c r="H132" s="47" t="s">
        <v>1171</v>
      </c>
      <c r="I132" s="47" t="s">
        <v>1181</v>
      </c>
      <c r="J132" s="47" t="s">
        <v>1255</v>
      </c>
    </row>
    <row r="133" spans="1:10" ht="15.6" x14ac:dyDescent="0.3">
      <c r="A133" s="47" t="s">
        <v>1404</v>
      </c>
      <c r="B133" s="47" t="s">
        <v>955</v>
      </c>
      <c r="C133" s="47">
        <f t="shared" si="2"/>
        <v>2020</v>
      </c>
      <c r="D133" s="47">
        <f>MONTH(Table2[[#This Row],[Purchase Date]])</f>
        <v>8</v>
      </c>
      <c r="E133" s="52">
        <v>44052</v>
      </c>
      <c r="F133" s="47" t="s">
        <v>1169</v>
      </c>
      <c r="G133" s="49">
        <v>266.16000000000003</v>
      </c>
      <c r="H133" s="47" t="s">
        <v>1174</v>
      </c>
      <c r="I133" s="47" t="s">
        <v>1186</v>
      </c>
      <c r="J133" s="47" t="s">
        <v>1179</v>
      </c>
    </row>
    <row r="134" spans="1:10" ht="15.6" x14ac:dyDescent="0.3">
      <c r="A134" s="47" t="s">
        <v>1405</v>
      </c>
      <c r="B134" s="47" t="s">
        <v>956</v>
      </c>
      <c r="C134" s="47">
        <f t="shared" si="2"/>
        <v>2020</v>
      </c>
      <c r="D134" s="47">
        <f>MONTH(Table2[[#This Row],[Purchase Date]])</f>
        <v>8</v>
      </c>
      <c r="E134" s="52">
        <v>44053</v>
      </c>
      <c r="F134" s="47" t="s">
        <v>1163</v>
      </c>
      <c r="G134" s="49">
        <v>178.61</v>
      </c>
      <c r="H134" s="47" t="s">
        <v>1176</v>
      </c>
      <c r="I134" s="47" t="s">
        <v>1184</v>
      </c>
      <c r="J134" s="47" t="s">
        <v>1185</v>
      </c>
    </row>
    <row r="135" spans="1:10" ht="15.6" x14ac:dyDescent="0.3">
      <c r="A135" s="47" t="s">
        <v>1468</v>
      </c>
      <c r="B135" s="47" t="s">
        <v>1089</v>
      </c>
      <c r="C135" s="47">
        <f t="shared" si="2"/>
        <v>2020</v>
      </c>
      <c r="D135" s="47">
        <f>MONTH(Table2[[#This Row],[Purchase Date]])</f>
        <v>8</v>
      </c>
      <c r="E135" s="52">
        <v>44055</v>
      </c>
      <c r="F135" s="47" t="s">
        <v>1162</v>
      </c>
      <c r="G135" s="49">
        <v>746.51</v>
      </c>
      <c r="H135" s="47" t="s">
        <v>1171</v>
      </c>
      <c r="I135" s="47" t="s">
        <v>1201</v>
      </c>
      <c r="J135" s="47" t="s">
        <v>1255</v>
      </c>
    </row>
    <row r="136" spans="1:10" ht="15.6" x14ac:dyDescent="0.3">
      <c r="A136" s="47" t="s">
        <v>1398</v>
      </c>
      <c r="B136" s="47" t="s">
        <v>942</v>
      </c>
      <c r="C136" s="47">
        <f t="shared" si="2"/>
        <v>2020</v>
      </c>
      <c r="D136" s="47">
        <f>MONTH(Table2[[#This Row],[Purchase Date]])</f>
        <v>8</v>
      </c>
      <c r="E136" s="52">
        <v>44059</v>
      </c>
      <c r="F136" s="47" t="s">
        <v>1164</v>
      </c>
      <c r="G136" s="49">
        <v>1203.49</v>
      </c>
      <c r="H136" s="47" t="s">
        <v>1176</v>
      </c>
      <c r="I136" s="47" t="s">
        <v>1195</v>
      </c>
      <c r="J136" s="47" t="s">
        <v>1185</v>
      </c>
    </row>
    <row r="137" spans="1:10" ht="15.6" x14ac:dyDescent="0.3">
      <c r="A137" s="47" t="s">
        <v>1414</v>
      </c>
      <c r="B137" s="47" t="s">
        <v>968</v>
      </c>
      <c r="C137" s="47">
        <f t="shared" si="2"/>
        <v>2020</v>
      </c>
      <c r="D137" s="47">
        <f>MONTH(Table2[[#This Row],[Purchase Date]])</f>
        <v>8</v>
      </c>
      <c r="E137" s="52">
        <v>44062</v>
      </c>
      <c r="F137" s="47" t="s">
        <v>1166</v>
      </c>
      <c r="G137" s="49">
        <v>1224.6099999999999</v>
      </c>
      <c r="H137" s="47" t="s">
        <v>1174</v>
      </c>
      <c r="I137" s="47" t="s">
        <v>1198</v>
      </c>
      <c r="J137" s="47" t="s">
        <v>1185</v>
      </c>
    </row>
    <row r="138" spans="1:10" ht="15.6" x14ac:dyDescent="0.3">
      <c r="A138" s="47" t="s">
        <v>1415</v>
      </c>
      <c r="B138" s="47" t="s">
        <v>970</v>
      </c>
      <c r="C138" s="47">
        <f t="shared" si="2"/>
        <v>2020</v>
      </c>
      <c r="D138" s="47">
        <f>MONTH(Table2[[#This Row],[Purchase Date]])</f>
        <v>8</v>
      </c>
      <c r="E138" s="52">
        <v>44064</v>
      </c>
      <c r="F138" s="47" t="s">
        <v>1152</v>
      </c>
      <c r="G138" s="49">
        <v>1456.96</v>
      </c>
      <c r="H138" s="47" t="s">
        <v>1174</v>
      </c>
      <c r="I138" s="47" t="s">
        <v>1199</v>
      </c>
      <c r="J138" s="47" t="s">
        <v>1179</v>
      </c>
    </row>
    <row r="139" spans="1:10" ht="15.6" x14ac:dyDescent="0.3">
      <c r="A139" s="47" t="s">
        <v>1435</v>
      </c>
      <c r="B139" s="47" t="s">
        <v>1022</v>
      </c>
      <c r="C139" s="47">
        <f t="shared" si="2"/>
        <v>2020</v>
      </c>
      <c r="D139" s="47">
        <f>MONTH(Table2[[#This Row],[Purchase Date]])</f>
        <v>9</v>
      </c>
      <c r="E139" s="52">
        <v>44090</v>
      </c>
      <c r="F139" s="47" t="s">
        <v>1163</v>
      </c>
      <c r="G139" s="49">
        <v>1477.04</v>
      </c>
      <c r="H139" s="47" t="s">
        <v>1176</v>
      </c>
      <c r="I139" s="47" t="s">
        <v>1199</v>
      </c>
      <c r="J139" s="47" t="s">
        <v>1185</v>
      </c>
    </row>
    <row r="140" spans="1:10" ht="15.6" x14ac:dyDescent="0.3">
      <c r="A140" s="47" t="s">
        <v>1436</v>
      </c>
      <c r="B140" s="47" t="s">
        <v>1024</v>
      </c>
      <c r="C140" s="47">
        <f t="shared" si="2"/>
        <v>2020</v>
      </c>
      <c r="D140" s="47">
        <f>MONTH(Table2[[#This Row],[Purchase Date]])</f>
        <v>9</v>
      </c>
      <c r="E140" s="52">
        <v>44092</v>
      </c>
      <c r="F140" s="47" t="s">
        <v>1167</v>
      </c>
      <c r="G140" s="49">
        <v>1502.74</v>
      </c>
      <c r="H140" s="47" t="s">
        <v>1171</v>
      </c>
      <c r="I140" s="47" t="s">
        <v>1201</v>
      </c>
      <c r="J140" s="47" t="s">
        <v>1255</v>
      </c>
    </row>
    <row r="141" spans="1:10" ht="15.6" x14ac:dyDescent="0.3">
      <c r="A141" s="47" t="s">
        <v>1381</v>
      </c>
      <c r="B141" s="47" t="s">
        <v>911</v>
      </c>
      <c r="C141" s="47">
        <f t="shared" si="2"/>
        <v>2020</v>
      </c>
      <c r="D141" s="47">
        <f>MONTH(Table2[[#This Row],[Purchase Date]])</f>
        <v>9</v>
      </c>
      <c r="E141" s="52">
        <v>44098</v>
      </c>
      <c r="F141" s="47" t="s">
        <v>1167</v>
      </c>
      <c r="G141" s="49">
        <v>1101.81</v>
      </c>
      <c r="H141" s="47" t="s">
        <v>1176</v>
      </c>
      <c r="I141" s="47" t="s">
        <v>1202</v>
      </c>
      <c r="J141" s="47" t="s">
        <v>1185</v>
      </c>
    </row>
    <row r="142" spans="1:10" ht="15.6" x14ac:dyDescent="0.3">
      <c r="A142" s="47" t="s">
        <v>1452</v>
      </c>
      <c r="B142" s="47" t="s">
        <v>1058</v>
      </c>
      <c r="C142" s="47">
        <f t="shared" si="2"/>
        <v>2020</v>
      </c>
      <c r="D142" s="47">
        <f>MONTH(Table2[[#This Row],[Purchase Date]])</f>
        <v>10</v>
      </c>
      <c r="E142" s="52">
        <v>44106</v>
      </c>
      <c r="F142" s="47" t="s">
        <v>1152</v>
      </c>
      <c r="G142" s="49">
        <v>1798.03</v>
      </c>
      <c r="H142" s="47" t="s">
        <v>1171</v>
      </c>
      <c r="I142" s="47" t="s">
        <v>1198</v>
      </c>
      <c r="J142" s="47" t="s">
        <v>1179</v>
      </c>
    </row>
    <row r="143" spans="1:10" ht="15.6" x14ac:dyDescent="0.3">
      <c r="A143" s="47" t="s">
        <v>1316</v>
      </c>
      <c r="B143" s="47" t="s">
        <v>759</v>
      </c>
      <c r="C143" s="47">
        <f t="shared" si="2"/>
        <v>2020</v>
      </c>
      <c r="D143" s="47">
        <f>MONTH(Table2[[#This Row],[Purchase Date]])</f>
        <v>10</v>
      </c>
      <c r="E143" s="52">
        <v>44111</v>
      </c>
      <c r="F143" s="47" t="s">
        <v>1167</v>
      </c>
      <c r="G143" s="49">
        <v>943.63</v>
      </c>
      <c r="H143" s="47" t="s">
        <v>1176</v>
      </c>
      <c r="I143" s="47" t="s">
        <v>1202</v>
      </c>
      <c r="J143" s="47" t="s">
        <v>1179</v>
      </c>
    </row>
    <row r="144" spans="1:10" ht="15.6" x14ac:dyDescent="0.3">
      <c r="A144" s="47" t="s">
        <v>1278</v>
      </c>
      <c r="B144" s="47" t="s">
        <v>760</v>
      </c>
      <c r="C144" s="47">
        <f t="shared" si="2"/>
        <v>2020</v>
      </c>
      <c r="D144" s="47">
        <f>MONTH(Table2[[#This Row],[Purchase Date]])</f>
        <v>10</v>
      </c>
      <c r="E144" s="52">
        <v>44113</v>
      </c>
      <c r="F144" s="47" t="s">
        <v>1163</v>
      </c>
      <c r="G144" s="49">
        <v>94.51</v>
      </c>
      <c r="H144" s="47" t="s">
        <v>1176</v>
      </c>
      <c r="I144" s="47" t="s">
        <v>1195</v>
      </c>
      <c r="J144" s="47" t="s">
        <v>1185</v>
      </c>
    </row>
    <row r="145" spans="1:10" ht="15.6" x14ac:dyDescent="0.3">
      <c r="A145" s="47" t="s">
        <v>1461</v>
      </c>
      <c r="B145" s="47" t="s">
        <v>1078</v>
      </c>
      <c r="C145" s="47">
        <f t="shared" si="2"/>
        <v>2020</v>
      </c>
      <c r="D145" s="47">
        <f>MONTH(Table2[[#This Row],[Purchase Date]])</f>
        <v>11</v>
      </c>
      <c r="E145" s="52">
        <v>44160</v>
      </c>
      <c r="F145" s="47" t="s">
        <v>1166</v>
      </c>
      <c r="G145" s="49">
        <v>589.41</v>
      </c>
      <c r="H145" s="47" t="s">
        <v>1171</v>
      </c>
      <c r="I145" s="47" t="s">
        <v>1201</v>
      </c>
      <c r="J145" s="47" t="s">
        <v>1179</v>
      </c>
    </row>
    <row r="146" spans="1:10" ht="15.6" x14ac:dyDescent="0.3">
      <c r="A146" s="47" t="s">
        <v>1403</v>
      </c>
      <c r="B146" s="47" t="s">
        <v>952</v>
      </c>
      <c r="C146" s="47">
        <f t="shared" si="2"/>
        <v>2021</v>
      </c>
      <c r="D146" s="47">
        <f>MONTH(Table2[[#This Row],[Purchase Date]])</f>
        <v>1</v>
      </c>
      <c r="E146" s="52">
        <v>44221</v>
      </c>
      <c r="F146" s="47" t="s">
        <v>1166</v>
      </c>
      <c r="G146" s="49">
        <v>289.72000000000003</v>
      </c>
      <c r="H146" s="47" t="s">
        <v>1174</v>
      </c>
      <c r="I146" s="47" t="s">
        <v>1189</v>
      </c>
      <c r="J146" s="47" t="s">
        <v>1179</v>
      </c>
    </row>
    <row r="147" spans="1:10" ht="15.6" x14ac:dyDescent="0.3">
      <c r="A147" s="47" t="s">
        <v>1363</v>
      </c>
      <c r="B147" s="47" t="s">
        <v>871</v>
      </c>
      <c r="C147" s="47">
        <f t="shared" si="2"/>
        <v>2021</v>
      </c>
      <c r="D147" s="47">
        <f>MONTH(Table2[[#This Row],[Purchase Date]])</f>
        <v>1</v>
      </c>
      <c r="E147" s="52">
        <v>44222</v>
      </c>
      <c r="F147" s="47" t="s">
        <v>1170</v>
      </c>
      <c r="G147" s="49">
        <v>1658.7</v>
      </c>
      <c r="H147" s="47" t="s">
        <v>1174</v>
      </c>
      <c r="I147" s="47" t="s">
        <v>1189</v>
      </c>
      <c r="J147" s="47" t="s">
        <v>1179</v>
      </c>
    </row>
    <row r="148" spans="1:10" ht="15.6" x14ac:dyDescent="0.3">
      <c r="A148" s="47" t="s">
        <v>1357</v>
      </c>
      <c r="B148" s="47" t="s">
        <v>860</v>
      </c>
      <c r="C148" s="47">
        <f t="shared" si="2"/>
        <v>2021</v>
      </c>
      <c r="D148" s="47">
        <f>MONTH(Table2[[#This Row],[Purchase Date]])</f>
        <v>2</v>
      </c>
      <c r="E148" s="52">
        <v>44228</v>
      </c>
      <c r="F148" s="47" t="s">
        <v>1169</v>
      </c>
      <c r="G148" s="49">
        <v>1092.94</v>
      </c>
      <c r="H148" s="47" t="s">
        <v>1176</v>
      </c>
      <c r="I148" s="47" t="s">
        <v>1195</v>
      </c>
      <c r="J148" s="47" t="s">
        <v>1179</v>
      </c>
    </row>
    <row r="149" spans="1:10" ht="15.6" x14ac:dyDescent="0.3">
      <c r="A149" s="47" t="s">
        <v>1305</v>
      </c>
      <c r="B149" s="47" t="s">
        <v>733</v>
      </c>
      <c r="C149" s="47">
        <f t="shared" si="2"/>
        <v>2021</v>
      </c>
      <c r="D149" s="47">
        <f>MONTH(Table2[[#This Row],[Purchase Date]])</f>
        <v>2</v>
      </c>
      <c r="E149" s="52">
        <v>44236</v>
      </c>
      <c r="F149" s="47" t="s">
        <v>1169</v>
      </c>
      <c r="G149" s="49">
        <v>1179.23</v>
      </c>
      <c r="H149" s="47" t="s">
        <v>1174</v>
      </c>
      <c r="I149" s="47" t="s">
        <v>1186</v>
      </c>
      <c r="J149" s="47" t="s">
        <v>1255</v>
      </c>
    </row>
    <row r="150" spans="1:10" ht="15.6" x14ac:dyDescent="0.3">
      <c r="A150" s="47" t="s">
        <v>1311</v>
      </c>
      <c r="B150" s="47" t="s">
        <v>741</v>
      </c>
      <c r="C150" s="47">
        <f t="shared" si="2"/>
        <v>2021</v>
      </c>
      <c r="D150" s="47">
        <f>MONTH(Table2[[#This Row],[Purchase Date]])</f>
        <v>2</v>
      </c>
      <c r="E150" s="52">
        <v>44241</v>
      </c>
      <c r="F150" s="47" t="s">
        <v>1160</v>
      </c>
      <c r="G150" s="49">
        <v>1457.68</v>
      </c>
      <c r="H150" s="47" t="s">
        <v>1176</v>
      </c>
      <c r="I150" s="47" t="s">
        <v>1189</v>
      </c>
      <c r="J150" s="47" t="s">
        <v>1185</v>
      </c>
    </row>
    <row r="151" spans="1:10" ht="15.6" x14ac:dyDescent="0.3">
      <c r="A151" s="47" t="s">
        <v>1417</v>
      </c>
      <c r="B151" s="47" t="s">
        <v>973</v>
      </c>
      <c r="C151" s="47">
        <f t="shared" si="2"/>
        <v>2021</v>
      </c>
      <c r="D151" s="47">
        <f>MONTH(Table2[[#This Row],[Purchase Date]])</f>
        <v>2</v>
      </c>
      <c r="E151" s="52">
        <v>44247</v>
      </c>
      <c r="F151" s="47" t="s">
        <v>1163</v>
      </c>
      <c r="G151" s="49">
        <v>805.08</v>
      </c>
      <c r="H151" s="47" t="s">
        <v>1171</v>
      </c>
      <c r="I151" s="47" t="s">
        <v>1195</v>
      </c>
      <c r="J151" s="47" t="s">
        <v>1179</v>
      </c>
    </row>
    <row r="152" spans="1:10" ht="15.6" x14ac:dyDescent="0.3">
      <c r="A152" s="47" t="s">
        <v>1314</v>
      </c>
      <c r="B152" s="47" t="s">
        <v>751</v>
      </c>
      <c r="C152" s="47">
        <f t="shared" si="2"/>
        <v>2021</v>
      </c>
      <c r="D152" s="47">
        <f>MONTH(Table2[[#This Row],[Purchase Date]])</f>
        <v>2</v>
      </c>
      <c r="E152" s="52">
        <v>44254</v>
      </c>
      <c r="F152" s="47" t="s">
        <v>1170</v>
      </c>
      <c r="G152" s="49">
        <v>222.57</v>
      </c>
      <c r="H152" s="47" t="s">
        <v>1174</v>
      </c>
      <c r="I152" s="47" t="s">
        <v>1181</v>
      </c>
      <c r="J152" s="47" t="s">
        <v>1255</v>
      </c>
    </row>
    <row r="153" spans="1:10" ht="15.6" x14ac:dyDescent="0.3">
      <c r="A153" s="47" t="s">
        <v>1465</v>
      </c>
      <c r="B153" s="47" t="s">
        <v>1084</v>
      </c>
      <c r="C153" s="47">
        <f t="shared" si="2"/>
        <v>2021</v>
      </c>
      <c r="D153" s="47">
        <f>MONTH(Table2[[#This Row],[Purchase Date]])</f>
        <v>2</v>
      </c>
      <c r="E153" s="52">
        <v>44254</v>
      </c>
      <c r="F153" s="47" t="s">
        <v>1166</v>
      </c>
      <c r="G153" s="49">
        <v>688.26</v>
      </c>
      <c r="H153" s="47" t="s">
        <v>1176</v>
      </c>
      <c r="I153" s="47" t="s">
        <v>1178</v>
      </c>
      <c r="J153" s="47" t="s">
        <v>1185</v>
      </c>
    </row>
    <row r="154" spans="1:10" ht="15.6" x14ac:dyDescent="0.3">
      <c r="A154" s="47" t="s">
        <v>1465</v>
      </c>
      <c r="B154" s="47" t="s">
        <v>1116</v>
      </c>
      <c r="C154" s="47">
        <f t="shared" si="2"/>
        <v>2021</v>
      </c>
      <c r="D154" s="47">
        <f>MONTH(Table2[[#This Row],[Purchase Date]])</f>
        <v>3</v>
      </c>
      <c r="E154" s="52">
        <v>44265</v>
      </c>
      <c r="F154" s="47" t="s">
        <v>1166</v>
      </c>
      <c r="G154" s="49">
        <v>1322.76</v>
      </c>
      <c r="H154" s="47" t="s">
        <v>1174</v>
      </c>
      <c r="I154" s="47" t="s">
        <v>1199</v>
      </c>
      <c r="J154" s="47" t="s">
        <v>1179</v>
      </c>
    </row>
    <row r="155" spans="1:10" ht="15.6" x14ac:dyDescent="0.3">
      <c r="A155" s="47" t="s">
        <v>1368</v>
      </c>
      <c r="B155" s="47" t="s">
        <v>1117</v>
      </c>
      <c r="C155" s="47">
        <f t="shared" si="2"/>
        <v>2021</v>
      </c>
      <c r="D155" s="47">
        <f>MONTH(Table2[[#This Row],[Purchase Date]])</f>
        <v>3</v>
      </c>
      <c r="E155" s="52">
        <v>44266</v>
      </c>
      <c r="F155" s="47" t="s">
        <v>1166</v>
      </c>
      <c r="G155" s="49">
        <v>1179.6099999999999</v>
      </c>
      <c r="H155" s="47" t="s">
        <v>1171</v>
      </c>
      <c r="I155" s="47" t="s">
        <v>1201</v>
      </c>
      <c r="J155" s="47" t="s">
        <v>1179</v>
      </c>
    </row>
    <row r="156" spans="1:10" ht="15.6" x14ac:dyDescent="0.3">
      <c r="A156" s="47" t="s">
        <v>1347</v>
      </c>
      <c r="B156" s="47" t="s">
        <v>836</v>
      </c>
      <c r="C156" s="47">
        <f t="shared" si="2"/>
        <v>2021</v>
      </c>
      <c r="D156" s="47">
        <f>MONTH(Table2[[#This Row],[Purchase Date]])</f>
        <v>4</v>
      </c>
      <c r="E156" s="52">
        <v>44291</v>
      </c>
      <c r="F156" s="47" t="s">
        <v>1160</v>
      </c>
      <c r="G156" s="49">
        <v>1945.79</v>
      </c>
      <c r="H156" s="47" t="s">
        <v>1176</v>
      </c>
      <c r="I156" s="47" t="s">
        <v>1198</v>
      </c>
      <c r="J156" s="47" t="s">
        <v>1255</v>
      </c>
    </row>
    <row r="157" spans="1:10" ht="15.6" x14ac:dyDescent="0.3">
      <c r="A157" s="47" t="s">
        <v>1349</v>
      </c>
      <c r="B157" s="47" t="s">
        <v>845</v>
      </c>
      <c r="C157" s="47">
        <f t="shared" si="2"/>
        <v>2021</v>
      </c>
      <c r="D157" s="47">
        <f>MONTH(Table2[[#This Row],[Purchase Date]])</f>
        <v>7</v>
      </c>
      <c r="E157" s="52">
        <v>44388</v>
      </c>
      <c r="F157" s="47" t="s">
        <v>1170</v>
      </c>
      <c r="G157" s="49">
        <v>433.38</v>
      </c>
      <c r="H157" s="47" t="s">
        <v>1176</v>
      </c>
      <c r="I157" s="47" t="s">
        <v>1201</v>
      </c>
      <c r="J157" s="47" t="s">
        <v>1185</v>
      </c>
    </row>
    <row r="158" spans="1:10" ht="15.6" x14ac:dyDescent="0.3">
      <c r="A158" s="47" t="s">
        <v>1270</v>
      </c>
      <c r="B158" s="47" t="s">
        <v>653</v>
      </c>
      <c r="C158" s="47">
        <f t="shared" si="2"/>
        <v>2021</v>
      </c>
      <c r="D158" s="47">
        <f>MONTH(Table2[[#This Row],[Purchase Date]])</f>
        <v>9</v>
      </c>
      <c r="E158" s="52">
        <v>44450</v>
      </c>
      <c r="F158" s="47" t="s">
        <v>1166</v>
      </c>
      <c r="G158" s="49">
        <v>819.72</v>
      </c>
      <c r="H158" s="47" t="s">
        <v>1176</v>
      </c>
      <c r="I158" s="47" t="s">
        <v>1202</v>
      </c>
      <c r="J158" s="47" t="s">
        <v>1255</v>
      </c>
    </row>
    <row r="159" spans="1:10" ht="15.6" x14ac:dyDescent="0.3">
      <c r="A159" s="47" t="s">
        <v>1429</v>
      </c>
      <c r="B159" s="47" t="s">
        <v>1007</v>
      </c>
      <c r="C159" s="47">
        <f t="shared" si="2"/>
        <v>2021</v>
      </c>
      <c r="D159" s="47">
        <f>MONTH(Table2[[#This Row],[Purchase Date]])</f>
        <v>9</v>
      </c>
      <c r="E159" s="52">
        <v>44452</v>
      </c>
      <c r="F159" s="47" t="s">
        <v>1164</v>
      </c>
      <c r="G159" s="49">
        <v>119.04</v>
      </c>
      <c r="H159" s="47" t="s">
        <v>1171</v>
      </c>
      <c r="I159" s="47" t="s">
        <v>1178</v>
      </c>
      <c r="J159" s="47" t="s">
        <v>1255</v>
      </c>
    </row>
    <row r="160" spans="1:10" ht="15.6" x14ac:dyDescent="0.3">
      <c r="A160" s="47" t="s">
        <v>1430</v>
      </c>
      <c r="B160" s="47" t="s">
        <v>1008</v>
      </c>
      <c r="C160" s="47">
        <f t="shared" si="2"/>
        <v>2021</v>
      </c>
      <c r="D160" s="47">
        <f>MONTH(Table2[[#This Row],[Purchase Date]])</f>
        <v>9</v>
      </c>
      <c r="E160" s="52">
        <v>44453</v>
      </c>
      <c r="F160" s="47" t="s">
        <v>1164</v>
      </c>
      <c r="G160" s="49">
        <v>749.53</v>
      </c>
      <c r="H160" s="47" t="s">
        <v>1171</v>
      </c>
      <c r="I160" s="47" t="s">
        <v>1202</v>
      </c>
      <c r="J160" s="47" t="s">
        <v>1179</v>
      </c>
    </row>
    <row r="161" spans="1:10" ht="15.6" x14ac:dyDescent="0.3">
      <c r="A161" s="47" t="s">
        <v>1353</v>
      </c>
      <c r="B161" s="47" t="s">
        <v>853</v>
      </c>
      <c r="C161" s="47">
        <f t="shared" si="2"/>
        <v>2021</v>
      </c>
      <c r="D161" s="47">
        <f>MONTH(Table2[[#This Row],[Purchase Date]])</f>
        <v>9</v>
      </c>
      <c r="E161" s="52">
        <v>44462</v>
      </c>
      <c r="F161" s="47" t="s">
        <v>1163</v>
      </c>
      <c r="G161" s="49">
        <v>1710.45</v>
      </c>
      <c r="H161" s="47" t="s">
        <v>1176</v>
      </c>
      <c r="I161" s="47" t="s">
        <v>1198</v>
      </c>
      <c r="J161" s="47" t="s">
        <v>1185</v>
      </c>
    </row>
    <row r="162" spans="1:10" ht="15.6" x14ac:dyDescent="0.3">
      <c r="A162" s="47" t="s">
        <v>1368</v>
      </c>
      <c r="B162" s="47" t="s">
        <v>888</v>
      </c>
      <c r="C162" s="47">
        <f t="shared" si="2"/>
        <v>2021</v>
      </c>
      <c r="D162" s="47">
        <f>MONTH(Table2[[#This Row],[Purchase Date]])</f>
        <v>9</v>
      </c>
      <c r="E162" s="52">
        <v>44468</v>
      </c>
      <c r="F162" s="47" t="s">
        <v>1163</v>
      </c>
      <c r="G162" s="49">
        <v>946.52</v>
      </c>
      <c r="H162" s="47" t="s">
        <v>1176</v>
      </c>
      <c r="I162" s="47" t="s">
        <v>1186</v>
      </c>
      <c r="J162" s="47" t="s">
        <v>1179</v>
      </c>
    </row>
    <row r="163" spans="1:10" ht="15.6" x14ac:dyDescent="0.3">
      <c r="A163" s="47" t="s">
        <v>1441</v>
      </c>
      <c r="B163" s="47" t="s">
        <v>1035</v>
      </c>
      <c r="C163" s="47">
        <f t="shared" si="2"/>
        <v>2021</v>
      </c>
      <c r="D163" s="47">
        <f>MONTH(Table2[[#This Row],[Purchase Date]])</f>
        <v>9</v>
      </c>
      <c r="E163" s="52">
        <v>44469</v>
      </c>
      <c r="F163" s="47" t="s">
        <v>1163</v>
      </c>
      <c r="G163" s="49">
        <v>1322.75</v>
      </c>
      <c r="H163" s="47" t="s">
        <v>1174</v>
      </c>
      <c r="I163" s="47" t="s">
        <v>1189</v>
      </c>
      <c r="J163" s="47" t="s">
        <v>1179</v>
      </c>
    </row>
    <row r="164" spans="1:10" ht="15.6" x14ac:dyDescent="0.3">
      <c r="A164" s="47" t="s">
        <v>1279</v>
      </c>
      <c r="B164" s="47" t="s">
        <v>674</v>
      </c>
      <c r="C164" s="47">
        <f t="shared" si="2"/>
        <v>2021</v>
      </c>
      <c r="D164" s="47">
        <f>MONTH(Table2[[#This Row],[Purchase Date]])</f>
        <v>10</v>
      </c>
      <c r="E164" s="52">
        <v>44487</v>
      </c>
      <c r="F164" s="47" t="s">
        <v>1155</v>
      </c>
      <c r="G164" s="49">
        <v>1769.73</v>
      </c>
      <c r="H164" s="47" t="s">
        <v>1176</v>
      </c>
      <c r="I164" s="47" t="s">
        <v>1201</v>
      </c>
      <c r="J164" s="47" t="s">
        <v>1255</v>
      </c>
    </row>
    <row r="165" spans="1:10" ht="15.6" x14ac:dyDescent="0.3">
      <c r="A165" s="47" t="s">
        <v>1374</v>
      </c>
      <c r="B165" s="47" t="s">
        <v>900</v>
      </c>
      <c r="C165" s="47">
        <f t="shared" si="2"/>
        <v>2021</v>
      </c>
      <c r="D165" s="47">
        <f>MONTH(Table2[[#This Row],[Purchase Date]])</f>
        <v>11</v>
      </c>
      <c r="E165" s="52">
        <v>44505</v>
      </c>
      <c r="F165" s="47" t="s">
        <v>1162</v>
      </c>
      <c r="G165" s="49">
        <v>120.32</v>
      </c>
      <c r="H165" s="47" t="s">
        <v>1171</v>
      </c>
      <c r="I165" s="47" t="s">
        <v>1184</v>
      </c>
      <c r="J165" s="47" t="s">
        <v>1255</v>
      </c>
    </row>
    <row r="166" spans="1:10" ht="15.6" x14ac:dyDescent="0.3">
      <c r="A166" s="47" t="s">
        <v>1412</v>
      </c>
      <c r="B166" s="47" t="s">
        <v>966</v>
      </c>
      <c r="C166" s="47">
        <f t="shared" si="2"/>
        <v>2021</v>
      </c>
      <c r="D166" s="47">
        <f>MONTH(Table2[[#This Row],[Purchase Date]])</f>
        <v>12</v>
      </c>
      <c r="E166" s="52">
        <v>44542</v>
      </c>
      <c r="F166" s="47" t="s">
        <v>1160</v>
      </c>
      <c r="G166" s="49">
        <v>283.77</v>
      </c>
      <c r="H166" s="47" t="s">
        <v>1174</v>
      </c>
      <c r="I166" s="47" t="s">
        <v>1202</v>
      </c>
      <c r="J166" s="47" t="s">
        <v>1179</v>
      </c>
    </row>
    <row r="167" spans="1:10" ht="15.6" x14ac:dyDescent="0.3">
      <c r="A167" s="47" t="s">
        <v>1302</v>
      </c>
      <c r="B167" s="47" t="s">
        <v>730</v>
      </c>
      <c r="C167" s="47">
        <f t="shared" si="2"/>
        <v>2021</v>
      </c>
      <c r="D167" s="47">
        <f>MONTH(Table2[[#This Row],[Purchase Date]])</f>
        <v>12</v>
      </c>
      <c r="E167" s="52">
        <v>44544</v>
      </c>
      <c r="F167" s="47" t="s">
        <v>1164</v>
      </c>
      <c r="G167" s="49">
        <v>1291.56</v>
      </c>
      <c r="H167" s="47" t="s">
        <v>1176</v>
      </c>
      <c r="I167" s="47" t="s">
        <v>1201</v>
      </c>
      <c r="J167" s="47" t="s">
        <v>1255</v>
      </c>
    </row>
    <row r="168" spans="1:10" ht="15.6" x14ac:dyDescent="0.3">
      <c r="A168" s="47" t="s">
        <v>1303</v>
      </c>
      <c r="B168" s="47" t="s">
        <v>731</v>
      </c>
      <c r="C168" s="47">
        <f t="shared" si="2"/>
        <v>2021</v>
      </c>
      <c r="D168" s="47">
        <f>MONTH(Table2[[#This Row],[Purchase Date]])</f>
        <v>12</v>
      </c>
      <c r="E168" s="52">
        <v>44545</v>
      </c>
      <c r="F168" s="47" t="s">
        <v>1164</v>
      </c>
      <c r="G168" s="49">
        <v>1305.6199999999999</v>
      </c>
      <c r="H168" s="47" t="s">
        <v>1174</v>
      </c>
      <c r="I168" s="47" t="s">
        <v>1195</v>
      </c>
      <c r="J168" s="47" t="s">
        <v>1255</v>
      </c>
    </row>
    <row r="169" spans="1:10" ht="15.6" x14ac:dyDescent="0.3">
      <c r="A169" s="47" t="s">
        <v>1376</v>
      </c>
      <c r="B169" s="47" t="s">
        <v>904</v>
      </c>
      <c r="C169" s="47">
        <f t="shared" si="2"/>
        <v>2021</v>
      </c>
      <c r="D169" s="47">
        <f>MONTH(Table2[[#This Row],[Purchase Date]])</f>
        <v>12</v>
      </c>
      <c r="E169" s="52">
        <v>44558</v>
      </c>
      <c r="F169" s="47" t="s">
        <v>1164</v>
      </c>
      <c r="G169" s="49">
        <v>493.04</v>
      </c>
      <c r="H169" s="47" t="s">
        <v>1171</v>
      </c>
      <c r="I169" s="47" t="s">
        <v>1199</v>
      </c>
      <c r="J169" s="47" t="s">
        <v>1255</v>
      </c>
    </row>
    <row r="170" spans="1:10" ht="15.6" x14ac:dyDescent="0.3">
      <c r="A170" s="47" t="s">
        <v>1469</v>
      </c>
      <c r="B170" s="47" t="s">
        <v>1132</v>
      </c>
      <c r="C170" s="47">
        <f t="shared" si="2"/>
        <v>2022</v>
      </c>
      <c r="D170" s="47">
        <f>MONTH(Table2[[#This Row],[Purchase Date]])</f>
        <v>1</v>
      </c>
      <c r="E170" s="52">
        <v>44570</v>
      </c>
      <c r="F170" s="47" t="s">
        <v>1162</v>
      </c>
      <c r="G170" s="49">
        <v>576.57000000000005</v>
      </c>
      <c r="H170" s="47" t="s">
        <v>1171</v>
      </c>
      <c r="I170" s="47" t="s">
        <v>1199</v>
      </c>
      <c r="J170" s="47" t="s">
        <v>1255</v>
      </c>
    </row>
    <row r="171" spans="1:10" ht="15.6" x14ac:dyDescent="0.3">
      <c r="A171" s="47" t="s">
        <v>1287</v>
      </c>
      <c r="B171" s="47" t="s">
        <v>695</v>
      </c>
      <c r="C171" s="47">
        <f t="shared" si="2"/>
        <v>2022</v>
      </c>
      <c r="D171" s="47">
        <f>MONTH(Table2[[#This Row],[Purchase Date]])</f>
        <v>1</v>
      </c>
      <c r="E171" s="52">
        <v>44584</v>
      </c>
      <c r="F171" s="47" t="s">
        <v>1152</v>
      </c>
      <c r="G171" s="49">
        <v>844.07</v>
      </c>
      <c r="H171" s="47" t="s">
        <v>1174</v>
      </c>
      <c r="I171" s="47" t="s">
        <v>1181</v>
      </c>
      <c r="J171" s="47" t="s">
        <v>1185</v>
      </c>
    </row>
    <row r="172" spans="1:10" ht="15.6" x14ac:dyDescent="0.3">
      <c r="A172" s="47" t="s">
        <v>1275</v>
      </c>
      <c r="B172" s="47" t="s">
        <v>670</v>
      </c>
      <c r="C172" s="47">
        <f t="shared" si="2"/>
        <v>2022</v>
      </c>
      <c r="D172" s="47">
        <f>MONTH(Table2[[#This Row],[Purchase Date]])</f>
        <v>1</v>
      </c>
      <c r="E172" s="52">
        <v>44588</v>
      </c>
      <c r="F172" s="47" t="s">
        <v>1169</v>
      </c>
      <c r="G172" s="49">
        <v>1341.86</v>
      </c>
      <c r="H172" s="47" t="s">
        <v>1171</v>
      </c>
      <c r="I172" s="47" t="s">
        <v>1186</v>
      </c>
      <c r="J172" s="47" t="s">
        <v>1255</v>
      </c>
    </row>
    <row r="173" spans="1:10" ht="15.6" x14ac:dyDescent="0.3">
      <c r="A173" s="47" t="s">
        <v>1440</v>
      </c>
      <c r="B173" s="47" t="s">
        <v>1034</v>
      </c>
      <c r="C173" s="47">
        <f t="shared" si="2"/>
        <v>2022</v>
      </c>
      <c r="D173" s="47">
        <f>MONTH(Table2[[#This Row],[Purchase Date]])</f>
        <v>2</v>
      </c>
      <c r="E173" s="52">
        <v>44610</v>
      </c>
      <c r="F173" s="47" t="s">
        <v>1163</v>
      </c>
      <c r="G173" s="49">
        <v>877.34</v>
      </c>
      <c r="H173" s="47" t="s">
        <v>1171</v>
      </c>
      <c r="I173" s="47" t="s">
        <v>1198</v>
      </c>
      <c r="J173" s="47" t="s">
        <v>1185</v>
      </c>
    </row>
    <row r="174" spans="1:10" ht="15.6" x14ac:dyDescent="0.3">
      <c r="A174" s="47" t="s">
        <v>1267</v>
      </c>
      <c r="B174" s="47" t="s">
        <v>641</v>
      </c>
      <c r="C174" s="47">
        <f t="shared" si="2"/>
        <v>2022</v>
      </c>
      <c r="D174" s="47">
        <f>MONTH(Table2[[#This Row],[Purchase Date]])</f>
        <v>2</v>
      </c>
      <c r="E174" s="52">
        <v>44611</v>
      </c>
      <c r="F174" s="47" t="s">
        <v>1166</v>
      </c>
      <c r="G174" s="49">
        <v>1055.32</v>
      </c>
      <c r="H174" s="47" t="s">
        <v>1176</v>
      </c>
      <c r="I174" s="47" t="s">
        <v>1195</v>
      </c>
      <c r="J174" s="47" t="s">
        <v>1185</v>
      </c>
    </row>
    <row r="175" spans="1:10" ht="15.6" x14ac:dyDescent="0.3">
      <c r="A175" s="47" t="s">
        <v>1475</v>
      </c>
      <c r="B175" s="47" t="s">
        <v>1145</v>
      </c>
      <c r="C175" s="47">
        <f t="shared" si="2"/>
        <v>2022</v>
      </c>
      <c r="D175" s="47">
        <f>MONTH(Table2[[#This Row],[Purchase Date]])</f>
        <v>2</v>
      </c>
      <c r="E175" s="52">
        <v>44611</v>
      </c>
      <c r="F175" s="47" t="s">
        <v>1170</v>
      </c>
      <c r="G175" s="49">
        <v>863.13</v>
      </c>
      <c r="H175" s="47" t="s">
        <v>1174</v>
      </c>
      <c r="I175" s="47" t="s">
        <v>1189</v>
      </c>
      <c r="J175" s="47" t="s">
        <v>1255</v>
      </c>
    </row>
    <row r="176" spans="1:10" ht="15.6" x14ac:dyDescent="0.3">
      <c r="A176" s="47" t="s">
        <v>1260</v>
      </c>
      <c r="B176" s="47" t="s">
        <v>1256</v>
      </c>
      <c r="C176" s="47">
        <f t="shared" si="2"/>
        <v>2022</v>
      </c>
      <c r="D176" s="47">
        <f>MONTH(Table2[[#This Row],[Purchase Date]])</f>
        <v>3</v>
      </c>
      <c r="E176" s="52">
        <v>44647</v>
      </c>
      <c r="F176" s="47" t="s">
        <v>1160</v>
      </c>
      <c r="G176" s="49">
        <v>164.13</v>
      </c>
      <c r="H176" s="47" t="s">
        <v>1174</v>
      </c>
      <c r="I176" s="47" t="s">
        <v>1181</v>
      </c>
      <c r="J176" s="47" t="s">
        <v>1185</v>
      </c>
    </row>
    <row r="177" spans="1:10" ht="15.6" x14ac:dyDescent="0.3">
      <c r="A177" s="47" t="s">
        <v>1463</v>
      </c>
      <c r="B177" s="47" t="s">
        <v>1122</v>
      </c>
      <c r="C177" s="47">
        <f t="shared" si="2"/>
        <v>2022</v>
      </c>
      <c r="D177" s="47">
        <f>MONTH(Table2[[#This Row],[Purchase Date]])</f>
        <v>3</v>
      </c>
      <c r="E177" s="52">
        <v>44647</v>
      </c>
      <c r="F177" s="47" t="s">
        <v>1166</v>
      </c>
      <c r="G177" s="49">
        <v>1583.24</v>
      </c>
      <c r="H177" s="47" t="s">
        <v>1176</v>
      </c>
      <c r="I177" s="47" t="s">
        <v>1186</v>
      </c>
      <c r="J177" s="47" t="s">
        <v>1185</v>
      </c>
    </row>
    <row r="178" spans="1:10" ht="15.6" x14ac:dyDescent="0.3">
      <c r="A178" s="47" t="s">
        <v>1438</v>
      </c>
      <c r="B178" s="47" t="s">
        <v>1031</v>
      </c>
      <c r="C178" s="47">
        <f t="shared" si="2"/>
        <v>2022</v>
      </c>
      <c r="D178" s="47">
        <f>MONTH(Table2[[#This Row],[Purchase Date]])</f>
        <v>4</v>
      </c>
      <c r="E178" s="52">
        <v>44663</v>
      </c>
      <c r="F178" s="47" t="s">
        <v>1155</v>
      </c>
      <c r="G178" s="49">
        <v>164.93</v>
      </c>
      <c r="H178" s="47" t="s">
        <v>1176</v>
      </c>
      <c r="I178" s="47" t="s">
        <v>1184</v>
      </c>
      <c r="J178" s="47" t="s">
        <v>1185</v>
      </c>
    </row>
    <row r="179" spans="1:10" ht="15.6" x14ac:dyDescent="0.3">
      <c r="A179" s="47" t="s">
        <v>1474</v>
      </c>
      <c r="B179" s="47" t="s">
        <v>1144</v>
      </c>
      <c r="C179" s="47">
        <f t="shared" si="2"/>
        <v>2022</v>
      </c>
      <c r="D179" s="47">
        <f>MONTH(Table2[[#This Row],[Purchase Date]])</f>
        <v>5</v>
      </c>
      <c r="E179" s="52">
        <v>44685</v>
      </c>
      <c r="F179" s="47" t="s">
        <v>1152</v>
      </c>
      <c r="G179" s="49">
        <v>174.16</v>
      </c>
      <c r="H179" s="47" t="s">
        <v>1174</v>
      </c>
      <c r="I179" s="47" t="s">
        <v>1199</v>
      </c>
      <c r="J179" s="47" t="s">
        <v>1255</v>
      </c>
    </row>
    <row r="180" spans="1:10" ht="15.6" x14ac:dyDescent="0.3">
      <c r="A180" s="47" t="s">
        <v>1424</v>
      </c>
      <c r="B180" s="47" t="s">
        <v>997</v>
      </c>
      <c r="C180" s="47">
        <f t="shared" si="2"/>
        <v>2022</v>
      </c>
      <c r="D180" s="47">
        <f>MONTH(Table2[[#This Row],[Purchase Date]])</f>
        <v>5</v>
      </c>
      <c r="E180" s="52">
        <v>44688</v>
      </c>
      <c r="F180" s="47" t="s">
        <v>1163</v>
      </c>
      <c r="G180" s="49">
        <v>1426.55</v>
      </c>
      <c r="H180" s="47" t="s">
        <v>1176</v>
      </c>
      <c r="I180" s="47" t="s">
        <v>1198</v>
      </c>
      <c r="J180" s="47" t="s">
        <v>1185</v>
      </c>
    </row>
    <row r="181" spans="1:10" ht="15.6" x14ac:dyDescent="0.3">
      <c r="A181" s="47" t="s">
        <v>1470</v>
      </c>
      <c r="B181" s="47" t="s">
        <v>1093</v>
      </c>
      <c r="C181" s="47">
        <f t="shared" si="2"/>
        <v>2022</v>
      </c>
      <c r="D181" s="47">
        <f>MONTH(Table2[[#This Row],[Purchase Date]])</f>
        <v>5</v>
      </c>
      <c r="E181" s="52">
        <v>44688</v>
      </c>
      <c r="F181" s="47" t="s">
        <v>1170</v>
      </c>
      <c r="G181" s="49">
        <v>152.33000000000001</v>
      </c>
      <c r="H181" s="47" t="s">
        <v>1171</v>
      </c>
      <c r="I181" s="47" t="s">
        <v>1184</v>
      </c>
      <c r="J181" s="47" t="s">
        <v>1179</v>
      </c>
    </row>
    <row r="182" spans="1:10" ht="15.6" x14ac:dyDescent="0.3">
      <c r="A182" s="47" t="s">
        <v>1425</v>
      </c>
      <c r="B182" s="47" t="s">
        <v>998</v>
      </c>
      <c r="C182" s="47">
        <f t="shared" si="2"/>
        <v>2022</v>
      </c>
      <c r="D182" s="47">
        <f>MONTH(Table2[[#This Row],[Purchase Date]])</f>
        <v>5</v>
      </c>
      <c r="E182" s="52">
        <v>44689</v>
      </c>
      <c r="F182" s="47" t="s">
        <v>1167</v>
      </c>
      <c r="G182" s="49">
        <v>225.47</v>
      </c>
      <c r="H182" s="47" t="s">
        <v>1174</v>
      </c>
      <c r="I182" s="47" t="s">
        <v>1202</v>
      </c>
      <c r="J182" s="47" t="s">
        <v>1185</v>
      </c>
    </row>
    <row r="183" spans="1:10" ht="15.6" x14ac:dyDescent="0.3">
      <c r="A183" s="47" t="s">
        <v>1471</v>
      </c>
      <c r="B183" s="47" t="s">
        <v>1094</v>
      </c>
      <c r="C183" s="47">
        <f t="shared" si="2"/>
        <v>2022</v>
      </c>
      <c r="D183" s="47">
        <f>MONTH(Table2[[#This Row],[Purchase Date]])</f>
        <v>5</v>
      </c>
      <c r="E183" s="52">
        <v>44689</v>
      </c>
      <c r="F183" s="47" t="s">
        <v>1170</v>
      </c>
      <c r="G183" s="49">
        <v>1170.6500000000001</v>
      </c>
      <c r="H183" s="47" t="s">
        <v>1174</v>
      </c>
      <c r="I183" s="47" t="s">
        <v>1198</v>
      </c>
      <c r="J183" s="47" t="s">
        <v>1185</v>
      </c>
    </row>
    <row r="184" spans="1:10" ht="15.6" x14ac:dyDescent="0.3">
      <c r="A184" s="47" t="s">
        <v>1426</v>
      </c>
      <c r="B184" s="47" t="s">
        <v>999</v>
      </c>
      <c r="C184" s="47">
        <f t="shared" si="2"/>
        <v>2022</v>
      </c>
      <c r="D184" s="47">
        <f>MONTH(Table2[[#This Row],[Purchase Date]])</f>
        <v>5</v>
      </c>
      <c r="E184" s="52">
        <v>44690</v>
      </c>
      <c r="F184" s="47" t="s">
        <v>1152</v>
      </c>
      <c r="G184" s="49">
        <v>1422.62</v>
      </c>
      <c r="H184" s="47" t="s">
        <v>1171</v>
      </c>
      <c r="I184" s="47" t="s">
        <v>1184</v>
      </c>
      <c r="J184" s="47" t="s">
        <v>1185</v>
      </c>
    </row>
    <row r="185" spans="1:10" ht="15.6" x14ac:dyDescent="0.3">
      <c r="A185" s="47" t="s">
        <v>1388</v>
      </c>
      <c r="B185" s="47" t="s">
        <v>1095</v>
      </c>
      <c r="C185" s="47">
        <f t="shared" si="2"/>
        <v>2022</v>
      </c>
      <c r="D185" s="47">
        <f>MONTH(Table2[[#This Row],[Purchase Date]])</f>
        <v>5</v>
      </c>
      <c r="E185" s="52">
        <v>44690</v>
      </c>
      <c r="F185" s="47" t="s">
        <v>1152</v>
      </c>
      <c r="G185" s="49">
        <v>89.3</v>
      </c>
      <c r="H185" s="47" t="s">
        <v>1174</v>
      </c>
      <c r="I185" s="47" t="s">
        <v>1201</v>
      </c>
      <c r="J185" s="47" t="s">
        <v>1185</v>
      </c>
    </row>
    <row r="186" spans="1:10" ht="15.6" x14ac:dyDescent="0.3">
      <c r="A186" s="47" t="s">
        <v>1400</v>
      </c>
      <c r="B186" s="47" t="s">
        <v>945</v>
      </c>
      <c r="C186" s="47">
        <f t="shared" si="2"/>
        <v>2022</v>
      </c>
      <c r="D186" s="47">
        <f>MONTH(Table2[[#This Row],[Purchase Date]])</f>
        <v>5</v>
      </c>
      <c r="E186" s="52">
        <v>44697</v>
      </c>
      <c r="F186" s="47" t="s">
        <v>1160</v>
      </c>
      <c r="G186" s="49">
        <v>188.37</v>
      </c>
      <c r="H186" s="47" t="s">
        <v>1171</v>
      </c>
      <c r="I186" s="47" t="s">
        <v>1195</v>
      </c>
      <c r="J186" s="47" t="s">
        <v>1179</v>
      </c>
    </row>
    <row r="187" spans="1:10" ht="15.6" x14ac:dyDescent="0.3">
      <c r="A187" s="47" t="s">
        <v>1276</v>
      </c>
      <c r="B187" s="47" t="s">
        <v>671</v>
      </c>
      <c r="C187" s="47">
        <f t="shared" si="2"/>
        <v>2022</v>
      </c>
      <c r="D187" s="47">
        <f>MONTH(Table2[[#This Row],[Purchase Date]])</f>
        <v>6</v>
      </c>
      <c r="E187" s="52">
        <v>44722</v>
      </c>
      <c r="F187" s="47" t="s">
        <v>1166</v>
      </c>
      <c r="G187" s="49">
        <v>717.58</v>
      </c>
      <c r="H187" s="47" t="s">
        <v>1176</v>
      </c>
      <c r="I187" s="47" t="s">
        <v>1202</v>
      </c>
      <c r="J187" s="47" t="s">
        <v>1185</v>
      </c>
    </row>
    <row r="188" spans="1:10" ht="15.6" x14ac:dyDescent="0.3">
      <c r="A188" s="47" t="s">
        <v>1289</v>
      </c>
      <c r="B188" s="47" t="s">
        <v>1257</v>
      </c>
      <c r="C188" s="47">
        <f t="shared" si="2"/>
        <v>2022</v>
      </c>
      <c r="D188" s="47">
        <f>MONTH(Table2[[#This Row],[Purchase Date]])</f>
        <v>6</v>
      </c>
      <c r="E188" s="52">
        <v>44722</v>
      </c>
      <c r="F188" s="47" t="s">
        <v>1160</v>
      </c>
      <c r="G188" s="49">
        <v>391.39</v>
      </c>
      <c r="H188" s="47" t="s">
        <v>1171</v>
      </c>
      <c r="I188" s="47" t="s">
        <v>1202</v>
      </c>
      <c r="J188" s="47" t="s">
        <v>1185</v>
      </c>
    </row>
    <row r="189" spans="1:10" ht="15.6" x14ac:dyDescent="0.3">
      <c r="A189" s="47" t="s">
        <v>1290</v>
      </c>
      <c r="B189" s="47" t="s">
        <v>707</v>
      </c>
      <c r="C189" s="47">
        <f t="shared" si="2"/>
        <v>2022</v>
      </c>
      <c r="D189" s="47">
        <f>MONTH(Table2[[#This Row],[Purchase Date]])</f>
        <v>6</v>
      </c>
      <c r="E189" s="52">
        <v>44723</v>
      </c>
      <c r="F189" s="47" t="s">
        <v>1163</v>
      </c>
      <c r="G189" s="49">
        <v>1323.33</v>
      </c>
      <c r="H189" s="47" t="s">
        <v>1171</v>
      </c>
      <c r="I189" s="47" t="s">
        <v>1195</v>
      </c>
      <c r="J189" s="47" t="s">
        <v>1255</v>
      </c>
    </row>
    <row r="190" spans="1:10" ht="15.6" x14ac:dyDescent="0.3">
      <c r="A190" s="47" t="s">
        <v>1481</v>
      </c>
      <c r="B190" s="47" t="s">
        <v>1131</v>
      </c>
      <c r="C190" s="47">
        <f t="shared" si="2"/>
        <v>2022</v>
      </c>
      <c r="D190" s="47">
        <f>MONTH(Table2[[#This Row],[Purchase Date]])</f>
        <v>6</v>
      </c>
      <c r="E190" s="52">
        <v>44735</v>
      </c>
      <c r="F190" s="47" t="s">
        <v>1164</v>
      </c>
      <c r="G190" s="49">
        <v>1376.16</v>
      </c>
      <c r="H190" s="47" t="s">
        <v>1171</v>
      </c>
      <c r="I190" s="47" t="s">
        <v>1201</v>
      </c>
      <c r="J190" s="47" t="s">
        <v>1179</v>
      </c>
    </row>
    <row r="191" spans="1:10" ht="15.6" x14ac:dyDescent="0.3">
      <c r="A191" s="47" t="s">
        <v>1449</v>
      </c>
      <c r="B191" s="47" t="s">
        <v>1050</v>
      </c>
      <c r="C191" s="47">
        <f t="shared" si="2"/>
        <v>2022</v>
      </c>
      <c r="D191" s="47">
        <f>MONTH(Table2[[#This Row],[Purchase Date]])</f>
        <v>6</v>
      </c>
      <c r="E191" s="52">
        <v>44737</v>
      </c>
      <c r="F191" s="47" t="s">
        <v>1162</v>
      </c>
      <c r="G191" s="49">
        <v>1674.57</v>
      </c>
      <c r="H191" s="47" t="s">
        <v>1171</v>
      </c>
      <c r="I191" s="47" t="s">
        <v>1198</v>
      </c>
      <c r="J191" s="47" t="s">
        <v>1255</v>
      </c>
    </row>
    <row r="192" spans="1:10" ht="15.6" x14ac:dyDescent="0.3">
      <c r="A192" s="47" t="s">
        <v>1463</v>
      </c>
      <c r="B192" s="47" t="s">
        <v>1081</v>
      </c>
      <c r="C192" s="47">
        <f t="shared" si="2"/>
        <v>2022</v>
      </c>
      <c r="D192" s="47">
        <f>MONTH(Table2[[#This Row],[Purchase Date]])</f>
        <v>7</v>
      </c>
      <c r="E192" s="52">
        <v>44773</v>
      </c>
      <c r="F192" s="47" t="s">
        <v>1170</v>
      </c>
      <c r="G192" s="49">
        <v>1126.5999999999999</v>
      </c>
      <c r="H192" s="47" t="s">
        <v>1174</v>
      </c>
      <c r="I192" s="47" t="s">
        <v>1189</v>
      </c>
      <c r="J192" s="47" t="s">
        <v>1179</v>
      </c>
    </row>
    <row r="193" spans="1:10" ht="15.6" x14ac:dyDescent="0.3">
      <c r="A193" s="47" t="s">
        <v>1259</v>
      </c>
      <c r="B193" s="47" t="s">
        <v>618</v>
      </c>
      <c r="C193" s="47">
        <f t="shared" si="2"/>
        <v>2022</v>
      </c>
      <c r="D193" s="47">
        <f>MONTH(Table2[[#This Row],[Purchase Date]])</f>
        <v>8</v>
      </c>
      <c r="E193" s="52">
        <v>44796</v>
      </c>
      <c r="F193" s="47" t="s">
        <v>1166</v>
      </c>
      <c r="G193" s="49">
        <v>1228.47</v>
      </c>
      <c r="H193" s="47" t="s">
        <v>1171</v>
      </c>
      <c r="I193" s="47" t="s">
        <v>1202</v>
      </c>
      <c r="J193" s="47" t="s">
        <v>1179</v>
      </c>
    </row>
    <row r="194" spans="1:10" ht="15.6" x14ac:dyDescent="0.3">
      <c r="A194" s="47" t="s">
        <v>1459</v>
      </c>
      <c r="B194" s="47" t="s">
        <v>1074</v>
      </c>
      <c r="C194" s="47">
        <f t="shared" si="2"/>
        <v>2022</v>
      </c>
      <c r="D194" s="47">
        <f>MONTH(Table2[[#This Row],[Purchase Date]])</f>
        <v>9</v>
      </c>
      <c r="E194" s="52">
        <v>44806</v>
      </c>
      <c r="F194" s="47" t="s">
        <v>1164</v>
      </c>
      <c r="G194" s="49">
        <v>268.52</v>
      </c>
      <c r="H194" s="47" t="s">
        <v>1171</v>
      </c>
      <c r="I194" s="47" t="s">
        <v>1184</v>
      </c>
      <c r="J194" s="47" t="s">
        <v>1255</v>
      </c>
    </row>
    <row r="195" spans="1:10" ht="15.6" x14ac:dyDescent="0.3">
      <c r="A195" s="47" t="s">
        <v>1382</v>
      </c>
      <c r="B195" s="47" t="s">
        <v>918</v>
      </c>
      <c r="C195" s="47">
        <f t="shared" ref="C195:C245" si="3">YEAR(E195)</f>
        <v>2022</v>
      </c>
      <c r="D195" s="47">
        <f>MONTH(Table2[[#This Row],[Purchase Date]])</f>
        <v>9</v>
      </c>
      <c r="E195" s="52">
        <v>44807</v>
      </c>
      <c r="F195" s="47" t="s">
        <v>1167</v>
      </c>
      <c r="G195" s="49">
        <v>633.74</v>
      </c>
      <c r="H195" s="47" t="s">
        <v>1174</v>
      </c>
      <c r="I195" s="47" t="s">
        <v>1186</v>
      </c>
      <c r="J195" s="47" t="s">
        <v>1179</v>
      </c>
    </row>
    <row r="196" spans="1:10" ht="15.6" x14ac:dyDescent="0.3">
      <c r="A196" s="47" t="s">
        <v>1383</v>
      </c>
      <c r="B196" s="47" t="s">
        <v>919</v>
      </c>
      <c r="C196" s="47">
        <f t="shared" si="3"/>
        <v>2022</v>
      </c>
      <c r="D196" s="47">
        <f>MONTH(Table2[[#This Row],[Purchase Date]])</f>
        <v>9</v>
      </c>
      <c r="E196" s="52">
        <v>44808</v>
      </c>
      <c r="F196" s="47" t="s">
        <v>1170</v>
      </c>
      <c r="G196" s="49">
        <v>1142.27</v>
      </c>
      <c r="H196" s="47" t="s">
        <v>1171</v>
      </c>
      <c r="I196" s="47" t="s">
        <v>1198</v>
      </c>
      <c r="J196" s="47" t="s">
        <v>1185</v>
      </c>
    </row>
    <row r="197" spans="1:10" ht="15.6" x14ac:dyDescent="0.3">
      <c r="A197" s="47" t="s">
        <v>1445</v>
      </c>
      <c r="B197" s="47" t="s">
        <v>1041</v>
      </c>
      <c r="C197" s="47">
        <f t="shared" si="3"/>
        <v>2022</v>
      </c>
      <c r="D197" s="47">
        <f>MONTH(Table2[[#This Row],[Purchase Date]])</f>
        <v>9</v>
      </c>
      <c r="E197" s="52">
        <v>44810</v>
      </c>
      <c r="F197" s="47" t="s">
        <v>1169</v>
      </c>
      <c r="G197" s="49">
        <v>941.64</v>
      </c>
      <c r="H197" s="47" t="s">
        <v>1176</v>
      </c>
      <c r="I197" s="47" t="s">
        <v>1178</v>
      </c>
      <c r="J197" s="47" t="s">
        <v>1179</v>
      </c>
    </row>
    <row r="198" spans="1:10" ht="15.6" x14ac:dyDescent="0.3">
      <c r="A198" s="47" t="s">
        <v>1422</v>
      </c>
      <c r="B198" s="47" t="s">
        <v>988</v>
      </c>
      <c r="C198" s="47">
        <f t="shared" si="3"/>
        <v>2022</v>
      </c>
      <c r="D198" s="47">
        <f>MONTH(Table2[[#This Row],[Purchase Date]])</f>
        <v>9</v>
      </c>
      <c r="E198" s="52">
        <v>44833</v>
      </c>
      <c r="F198" s="47" t="s">
        <v>1155</v>
      </c>
      <c r="G198" s="49">
        <v>1752.17</v>
      </c>
      <c r="H198" s="47" t="s">
        <v>1176</v>
      </c>
      <c r="I198" s="47" t="s">
        <v>1198</v>
      </c>
      <c r="J198" s="47" t="s">
        <v>1255</v>
      </c>
    </row>
    <row r="199" spans="1:10" ht="15.6" x14ac:dyDescent="0.3">
      <c r="A199" s="47" t="s">
        <v>1377</v>
      </c>
      <c r="B199" s="47" t="s">
        <v>905</v>
      </c>
      <c r="C199" s="47">
        <f t="shared" si="3"/>
        <v>2022</v>
      </c>
      <c r="D199" s="47">
        <f>MONTH(Table2[[#This Row],[Purchase Date]])</f>
        <v>10</v>
      </c>
      <c r="E199" s="52">
        <v>44847</v>
      </c>
      <c r="F199" s="47" t="s">
        <v>1162</v>
      </c>
      <c r="G199" s="49">
        <v>1900.69</v>
      </c>
      <c r="H199" s="47" t="s">
        <v>1174</v>
      </c>
      <c r="I199" s="47" t="s">
        <v>1198</v>
      </c>
      <c r="J199" s="47" t="s">
        <v>1185</v>
      </c>
    </row>
    <row r="200" spans="1:10" ht="15.6" x14ac:dyDescent="0.3">
      <c r="A200" s="47" t="s">
        <v>1269</v>
      </c>
      <c r="B200" s="47" t="s">
        <v>649</v>
      </c>
      <c r="C200" s="47">
        <f t="shared" si="3"/>
        <v>2022</v>
      </c>
      <c r="D200" s="47">
        <f>MONTH(Table2[[#This Row],[Purchase Date]])</f>
        <v>10</v>
      </c>
      <c r="E200" s="52">
        <v>44861</v>
      </c>
      <c r="F200" s="47" t="s">
        <v>1164</v>
      </c>
      <c r="G200" s="49">
        <v>410.29</v>
      </c>
      <c r="H200" s="47" t="s">
        <v>1171</v>
      </c>
      <c r="I200" s="47" t="s">
        <v>1178</v>
      </c>
      <c r="J200" s="47" t="s">
        <v>1179</v>
      </c>
    </row>
    <row r="201" spans="1:10" ht="15.6" x14ac:dyDescent="0.3">
      <c r="A201" s="47" t="s">
        <v>1475</v>
      </c>
      <c r="B201" s="47" t="s">
        <v>1104</v>
      </c>
      <c r="C201" s="47">
        <f t="shared" si="3"/>
        <v>2022</v>
      </c>
      <c r="D201" s="47">
        <f>MONTH(Table2[[#This Row],[Purchase Date]])</f>
        <v>11</v>
      </c>
      <c r="E201" s="52">
        <v>44870</v>
      </c>
      <c r="F201" s="47" t="s">
        <v>1162</v>
      </c>
      <c r="G201" s="49">
        <v>1649.47</v>
      </c>
      <c r="H201" s="47" t="s">
        <v>1176</v>
      </c>
      <c r="I201" s="47" t="s">
        <v>1201</v>
      </c>
      <c r="J201" s="47" t="s">
        <v>1255</v>
      </c>
    </row>
    <row r="202" spans="1:10" ht="15.6" x14ac:dyDescent="0.3">
      <c r="A202" s="47" t="s">
        <v>1284</v>
      </c>
      <c r="B202" s="47" t="s">
        <v>689</v>
      </c>
      <c r="C202" s="47">
        <f t="shared" si="3"/>
        <v>2022</v>
      </c>
      <c r="D202" s="47">
        <f>MONTH(Table2[[#This Row],[Purchase Date]])</f>
        <v>12</v>
      </c>
      <c r="E202" s="52">
        <v>44921</v>
      </c>
      <c r="F202" s="47" t="s">
        <v>1160</v>
      </c>
      <c r="G202" s="49">
        <v>868.59</v>
      </c>
      <c r="H202" s="47" t="s">
        <v>1174</v>
      </c>
      <c r="I202" s="47" t="s">
        <v>1195</v>
      </c>
      <c r="J202" s="47" t="s">
        <v>1255</v>
      </c>
    </row>
    <row r="203" spans="1:10" ht="15.6" x14ac:dyDescent="0.3">
      <c r="A203" s="47" t="s">
        <v>1478</v>
      </c>
      <c r="B203" s="47" t="s">
        <v>1112</v>
      </c>
      <c r="C203" s="47">
        <f t="shared" si="3"/>
        <v>2022</v>
      </c>
      <c r="D203" s="47">
        <f>MONTH(Table2[[#This Row],[Purchase Date]])</f>
        <v>12</v>
      </c>
      <c r="E203" s="52">
        <v>44921</v>
      </c>
      <c r="F203" s="47" t="s">
        <v>1152</v>
      </c>
      <c r="G203" s="49">
        <v>743.28</v>
      </c>
      <c r="H203" s="47" t="s">
        <v>1174</v>
      </c>
      <c r="I203" s="47" t="s">
        <v>1199</v>
      </c>
      <c r="J203" s="47" t="s">
        <v>1179</v>
      </c>
    </row>
    <row r="204" spans="1:10" ht="15.6" x14ac:dyDescent="0.3">
      <c r="A204" s="47" t="s">
        <v>1323</v>
      </c>
      <c r="B204" s="47" t="s">
        <v>1113</v>
      </c>
      <c r="C204" s="47">
        <f t="shared" si="3"/>
        <v>2022</v>
      </c>
      <c r="D204" s="47">
        <f>MONTH(Table2[[#This Row],[Purchase Date]])</f>
        <v>12</v>
      </c>
      <c r="E204" s="52">
        <v>44922</v>
      </c>
      <c r="F204" s="47" t="s">
        <v>1163</v>
      </c>
      <c r="G204" s="49">
        <v>1488.39</v>
      </c>
      <c r="H204" s="47" t="s">
        <v>1176</v>
      </c>
      <c r="I204" s="47" t="s">
        <v>1181</v>
      </c>
      <c r="J204" s="47" t="s">
        <v>1255</v>
      </c>
    </row>
    <row r="205" spans="1:10" ht="15.6" x14ac:dyDescent="0.3">
      <c r="A205" s="47" t="s">
        <v>1405</v>
      </c>
      <c r="B205" s="47" t="s">
        <v>1114</v>
      </c>
      <c r="C205" s="47">
        <f t="shared" si="3"/>
        <v>2022</v>
      </c>
      <c r="D205" s="47">
        <f>MONTH(Table2[[#This Row],[Purchase Date]])</f>
        <v>12</v>
      </c>
      <c r="E205" s="52">
        <v>44923</v>
      </c>
      <c r="F205" s="47" t="s">
        <v>1155</v>
      </c>
      <c r="G205" s="49">
        <v>1090.97</v>
      </c>
      <c r="H205" s="47" t="s">
        <v>1171</v>
      </c>
      <c r="I205" s="47" t="s">
        <v>1181</v>
      </c>
      <c r="J205" s="47" t="s">
        <v>1185</v>
      </c>
    </row>
    <row r="206" spans="1:10" ht="15.6" x14ac:dyDescent="0.3">
      <c r="A206" s="47" t="s">
        <v>1399</v>
      </c>
      <c r="B206" s="47" t="s">
        <v>944</v>
      </c>
      <c r="C206" s="47">
        <f t="shared" si="3"/>
        <v>2022</v>
      </c>
      <c r="D206" s="47">
        <f>MONTH(Table2[[#This Row],[Purchase Date]])</f>
        <v>12</v>
      </c>
      <c r="E206" s="52">
        <v>44924</v>
      </c>
      <c r="F206" s="47" t="s">
        <v>1164</v>
      </c>
      <c r="G206" s="49">
        <v>1695.29</v>
      </c>
      <c r="H206" s="47" t="s">
        <v>1174</v>
      </c>
      <c r="I206" s="47" t="s">
        <v>1202</v>
      </c>
      <c r="J206" s="47" t="s">
        <v>1179</v>
      </c>
    </row>
    <row r="207" spans="1:10" ht="15.6" x14ac:dyDescent="0.3">
      <c r="A207" s="47" t="s">
        <v>1337</v>
      </c>
      <c r="B207" s="47" t="s">
        <v>810</v>
      </c>
      <c r="C207" s="47">
        <f t="shared" si="3"/>
        <v>2023</v>
      </c>
      <c r="D207" s="47">
        <f>MONTH(Table2[[#This Row],[Purchase Date]])</f>
        <v>1</v>
      </c>
      <c r="E207" s="52">
        <v>44942</v>
      </c>
      <c r="F207" s="47" t="s">
        <v>1166</v>
      </c>
      <c r="G207" s="49">
        <v>1904.8</v>
      </c>
      <c r="H207" s="47" t="s">
        <v>1176</v>
      </c>
      <c r="I207" s="47" t="s">
        <v>1201</v>
      </c>
      <c r="J207" s="47" t="s">
        <v>1179</v>
      </c>
    </row>
    <row r="208" spans="1:10" ht="15.6" x14ac:dyDescent="0.3">
      <c r="A208" s="47" t="s">
        <v>1394</v>
      </c>
      <c r="B208" s="47" t="s">
        <v>1105</v>
      </c>
      <c r="C208" s="47">
        <f t="shared" si="3"/>
        <v>2023</v>
      </c>
      <c r="D208" s="47">
        <f>MONTH(Table2[[#This Row],[Purchase Date]])</f>
        <v>1</v>
      </c>
      <c r="E208" s="52">
        <v>44951</v>
      </c>
      <c r="F208" s="47" t="s">
        <v>1162</v>
      </c>
      <c r="G208" s="49">
        <v>346.24</v>
      </c>
      <c r="H208" s="47" t="s">
        <v>1171</v>
      </c>
      <c r="I208" s="47" t="s">
        <v>1181</v>
      </c>
      <c r="J208" s="47" t="s">
        <v>1179</v>
      </c>
    </row>
    <row r="209" spans="1:10" ht="15.6" x14ac:dyDescent="0.3">
      <c r="A209" s="47" t="s">
        <v>1310</v>
      </c>
      <c r="B209" s="47" t="s">
        <v>740</v>
      </c>
      <c r="C209" s="47">
        <f t="shared" si="3"/>
        <v>2023</v>
      </c>
      <c r="D209" s="47">
        <f>MONTH(Table2[[#This Row],[Purchase Date]])</f>
        <v>3</v>
      </c>
      <c r="E209" s="52">
        <v>44998</v>
      </c>
      <c r="F209" s="47" t="s">
        <v>1152</v>
      </c>
      <c r="G209" s="49">
        <v>1616.09</v>
      </c>
      <c r="H209" s="47" t="s">
        <v>1176</v>
      </c>
      <c r="I209" s="47" t="s">
        <v>1195</v>
      </c>
      <c r="J209" s="47" t="s">
        <v>1179</v>
      </c>
    </row>
    <row r="210" spans="1:10" ht="15.6" x14ac:dyDescent="0.3">
      <c r="A210" s="47" t="s">
        <v>1288</v>
      </c>
      <c r="B210" s="47" t="s">
        <v>698</v>
      </c>
      <c r="C210" s="47">
        <f t="shared" si="3"/>
        <v>2023</v>
      </c>
      <c r="D210" s="47">
        <f>MONTH(Table2[[#This Row],[Purchase Date]])</f>
        <v>4</v>
      </c>
      <c r="E210" s="52">
        <v>45019</v>
      </c>
      <c r="F210" s="47" t="s">
        <v>1152</v>
      </c>
      <c r="G210" s="49">
        <v>709.33</v>
      </c>
      <c r="H210" s="47" t="s">
        <v>1176</v>
      </c>
      <c r="I210" s="47" t="s">
        <v>1201</v>
      </c>
      <c r="J210" s="47" t="s">
        <v>1185</v>
      </c>
    </row>
    <row r="211" spans="1:10" ht="15.6" x14ac:dyDescent="0.3">
      <c r="A211" s="47" t="s">
        <v>1318</v>
      </c>
      <c r="B211" s="47" t="s">
        <v>763</v>
      </c>
      <c r="C211" s="47">
        <f t="shared" si="3"/>
        <v>2023</v>
      </c>
      <c r="D211" s="47">
        <f>MONTH(Table2[[#This Row],[Purchase Date]])</f>
        <v>4</v>
      </c>
      <c r="E211" s="52">
        <v>45022</v>
      </c>
      <c r="F211" s="47" t="s">
        <v>1164</v>
      </c>
      <c r="G211" s="49">
        <v>1853.95</v>
      </c>
      <c r="H211" s="47" t="s">
        <v>1171</v>
      </c>
      <c r="I211" s="47" t="s">
        <v>1202</v>
      </c>
      <c r="J211" s="47" t="s">
        <v>1179</v>
      </c>
    </row>
    <row r="212" spans="1:10" ht="15.6" x14ac:dyDescent="0.3">
      <c r="A212" s="47" t="s">
        <v>1388</v>
      </c>
      <c r="B212" s="47" t="s">
        <v>926</v>
      </c>
      <c r="C212" s="47">
        <f t="shared" si="3"/>
        <v>2023</v>
      </c>
      <c r="D212" s="47">
        <f>MONTH(Table2[[#This Row],[Purchase Date]])</f>
        <v>4</v>
      </c>
      <c r="E212" s="52">
        <v>45027</v>
      </c>
      <c r="F212" s="47" t="s">
        <v>1162</v>
      </c>
      <c r="G212" s="49">
        <v>353.13</v>
      </c>
      <c r="H212" s="47" t="s">
        <v>1171</v>
      </c>
      <c r="I212" s="47" t="s">
        <v>1189</v>
      </c>
      <c r="J212" s="47" t="s">
        <v>1185</v>
      </c>
    </row>
    <row r="213" spans="1:10" ht="15.6" x14ac:dyDescent="0.3">
      <c r="A213" s="47" t="s">
        <v>1320</v>
      </c>
      <c r="B213" s="47" t="s">
        <v>768</v>
      </c>
      <c r="C213" s="47">
        <f t="shared" si="3"/>
        <v>2023</v>
      </c>
      <c r="D213" s="47">
        <f>MONTH(Table2[[#This Row],[Purchase Date]])</f>
        <v>4</v>
      </c>
      <c r="E213" s="52">
        <v>45029</v>
      </c>
      <c r="F213" s="47" t="s">
        <v>1160</v>
      </c>
      <c r="G213" s="49">
        <v>729.37</v>
      </c>
      <c r="H213" s="47" t="s">
        <v>1176</v>
      </c>
      <c r="I213" s="47" t="s">
        <v>1199</v>
      </c>
      <c r="J213" s="47" t="s">
        <v>1255</v>
      </c>
    </row>
    <row r="214" spans="1:10" ht="15.6" x14ac:dyDescent="0.3">
      <c r="A214" s="47" t="s">
        <v>1407</v>
      </c>
      <c r="B214" s="47" t="s">
        <v>959</v>
      </c>
      <c r="C214" s="47">
        <f t="shared" si="3"/>
        <v>2023</v>
      </c>
      <c r="D214" s="47">
        <f>MONTH(Table2[[#This Row],[Purchase Date]])</f>
        <v>6</v>
      </c>
      <c r="E214" s="52">
        <v>45079</v>
      </c>
      <c r="F214" s="47" t="s">
        <v>1170</v>
      </c>
      <c r="G214" s="49">
        <v>528.86</v>
      </c>
      <c r="H214" s="47" t="s">
        <v>1174</v>
      </c>
      <c r="I214" s="47" t="s">
        <v>1201</v>
      </c>
      <c r="J214" s="47" t="s">
        <v>1255</v>
      </c>
    </row>
    <row r="215" spans="1:10" ht="15.6" x14ac:dyDescent="0.3">
      <c r="A215" s="47" t="s">
        <v>1326</v>
      </c>
      <c r="B215" s="47" t="s">
        <v>779</v>
      </c>
      <c r="C215" s="47">
        <f t="shared" si="3"/>
        <v>2023</v>
      </c>
      <c r="D215" s="47">
        <f>MONTH(Table2[[#This Row],[Purchase Date]])</f>
        <v>6</v>
      </c>
      <c r="E215" s="52">
        <v>45093</v>
      </c>
      <c r="F215" s="47" t="s">
        <v>1162</v>
      </c>
      <c r="G215" s="49">
        <v>73.260000000000005</v>
      </c>
      <c r="H215" s="47" t="s">
        <v>1176</v>
      </c>
      <c r="I215" s="47" t="s">
        <v>1198</v>
      </c>
      <c r="J215" s="47" t="s">
        <v>1255</v>
      </c>
    </row>
    <row r="216" spans="1:10" ht="15.6" x14ac:dyDescent="0.3">
      <c r="A216" s="47" t="s">
        <v>1315</v>
      </c>
      <c r="B216" s="47" t="s">
        <v>757</v>
      </c>
      <c r="C216" s="47">
        <f t="shared" si="3"/>
        <v>2023</v>
      </c>
      <c r="D216" s="47">
        <f>MONTH(Table2[[#This Row],[Purchase Date]])</f>
        <v>6</v>
      </c>
      <c r="E216" s="52">
        <v>45103</v>
      </c>
      <c r="F216" s="47" t="s">
        <v>1162</v>
      </c>
      <c r="G216" s="49">
        <v>1266.82</v>
      </c>
      <c r="H216" s="47" t="s">
        <v>1174</v>
      </c>
      <c r="I216" s="47" t="s">
        <v>1184</v>
      </c>
      <c r="J216" s="47" t="s">
        <v>1185</v>
      </c>
    </row>
    <row r="217" spans="1:10" ht="15.6" x14ac:dyDescent="0.3">
      <c r="A217" s="47" t="s">
        <v>1370</v>
      </c>
      <c r="B217" s="47" t="s">
        <v>893</v>
      </c>
      <c r="C217" s="47">
        <f t="shared" si="3"/>
        <v>2023</v>
      </c>
      <c r="D217" s="47">
        <f>MONTH(Table2[[#This Row],[Purchase Date]])</f>
        <v>7</v>
      </c>
      <c r="E217" s="52">
        <v>45121</v>
      </c>
      <c r="F217" s="47" t="s">
        <v>1162</v>
      </c>
      <c r="G217" s="49">
        <v>1556.42</v>
      </c>
      <c r="H217" s="47" t="s">
        <v>1171</v>
      </c>
      <c r="I217" s="47" t="s">
        <v>1198</v>
      </c>
      <c r="J217" s="47" t="s">
        <v>1179</v>
      </c>
    </row>
    <row r="218" spans="1:10" ht="15.6" x14ac:dyDescent="0.3">
      <c r="A218" s="47" t="s">
        <v>1312</v>
      </c>
      <c r="B218" s="47" t="s">
        <v>746</v>
      </c>
      <c r="C218" s="47">
        <f t="shared" si="3"/>
        <v>2023</v>
      </c>
      <c r="D218" s="47">
        <f>MONTH(Table2[[#This Row],[Purchase Date]])</f>
        <v>7</v>
      </c>
      <c r="E218" s="52">
        <v>45130</v>
      </c>
      <c r="F218" s="47" t="s">
        <v>1164</v>
      </c>
      <c r="G218" s="49">
        <v>117.88</v>
      </c>
      <c r="H218" s="47" t="s">
        <v>1174</v>
      </c>
      <c r="I218" s="47" t="s">
        <v>1195</v>
      </c>
      <c r="J218" s="47" t="s">
        <v>1255</v>
      </c>
    </row>
    <row r="219" spans="1:10" ht="15.6" x14ac:dyDescent="0.3">
      <c r="A219" s="47" t="s">
        <v>1313</v>
      </c>
      <c r="B219" s="47" t="s">
        <v>748</v>
      </c>
      <c r="C219" s="47">
        <f t="shared" si="3"/>
        <v>2023</v>
      </c>
      <c r="D219" s="47">
        <f>MONTH(Table2[[#This Row],[Purchase Date]])</f>
        <v>7</v>
      </c>
      <c r="E219" s="52">
        <v>45132</v>
      </c>
      <c r="F219" s="47" t="s">
        <v>1163</v>
      </c>
      <c r="G219" s="49">
        <v>640.5</v>
      </c>
      <c r="H219" s="47" t="s">
        <v>1171</v>
      </c>
      <c r="I219" s="47" t="s">
        <v>1195</v>
      </c>
      <c r="J219" s="47" t="s">
        <v>1179</v>
      </c>
    </row>
    <row r="220" spans="1:10" ht="15.6" x14ac:dyDescent="0.3">
      <c r="A220" s="47" t="s">
        <v>1293</v>
      </c>
      <c r="B220" s="47" t="s">
        <v>712</v>
      </c>
      <c r="C220" s="47">
        <f t="shared" si="3"/>
        <v>2023</v>
      </c>
      <c r="D220" s="47">
        <f>MONTH(Table2[[#This Row],[Purchase Date]])</f>
        <v>8</v>
      </c>
      <c r="E220" s="52">
        <v>45147</v>
      </c>
      <c r="F220" s="47" t="s">
        <v>1155</v>
      </c>
      <c r="G220" s="49">
        <v>327.23</v>
      </c>
      <c r="H220" s="47" t="s">
        <v>1176</v>
      </c>
      <c r="I220" s="47" t="s">
        <v>1178</v>
      </c>
      <c r="J220" s="47" t="s">
        <v>1179</v>
      </c>
    </row>
    <row r="221" spans="1:10" ht="15.6" x14ac:dyDescent="0.3">
      <c r="A221" s="47" t="s">
        <v>1294</v>
      </c>
      <c r="B221" s="47" t="s">
        <v>713</v>
      </c>
      <c r="C221" s="47">
        <f t="shared" si="3"/>
        <v>2023</v>
      </c>
      <c r="D221" s="47">
        <f>MONTH(Table2[[#This Row],[Purchase Date]])</f>
        <v>8</v>
      </c>
      <c r="E221" s="52">
        <v>45148</v>
      </c>
      <c r="F221" s="47" t="s">
        <v>1162</v>
      </c>
      <c r="G221" s="49">
        <v>1715.77</v>
      </c>
      <c r="H221" s="47" t="s">
        <v>1176</v>
      </c>
      <c r="I221" s="47" t="s">
        <v>1199</v>
      </c>
      <c r="J221" s="47" t="s">
        <v>1185</v>
      </c>
    </row>
    <row r="222" spans="1:10" ht="15.6" x14ac:dyDescent="0.3">
      <c r="A222" s="47" t="s">
        <v>1317</v>
      </c>
      <c r="B222" s="47" t="s">
        <v>762</v>
      </c>
      <c r="C222" s="47">
        <f t="shared" si="3"/>
        <v>2023</v>
      </c>
      <c r="D222" s="47">
        <f>MONTH(Table2[[#This Row],[Purchase Date]])</f>
        <v>8</v>
      </c>
      <c r="E222" s="52">
        <v>45148</v>
      </c>
      <c r="F222" s="47" t="s">
        <v>1166</v>
      </c>
      <c r="G222" s="49">
        <v>726.73</v>
      </c>
      <c r="H222" s="47" t="s">
        <v>1171</v>
      </c>
      <c r="I222" s="47" t="s">
        <v>1201</v>
      </c>
      <c r="J222" s="47" t="s">
        <v>1185</v>
      </c>
    </row>
    <row r="223" spans="1:10" ht="15.6" x14ac:dyDescent="0.3">
      <c r="A223" s="47" t="s">
        <v>1295</v>
      </c>
      <c r="B223" s="47" t="s">
        <v>715</v>
      </c>
      <c r="C223" s="47">
        <f t="shared" si="3"/>
        <v>2023</v>
      </c>
      <c r="D223" s="47">
        <f>MONTH(Table2[[#This Row],[Purchase Date]])</f>
        <v>9</v>
      </c>
      <c r="E223" s="52">
        <v>45186</v>
      </c>
      <c r="F223" s="47" t="s">
        <v>1162</v>
      </c>
      <c r="G223" s="49">
        <v>336.64</v>
      </c>
      <c r="H223" s="47" t="s">
        <v>1174</v>
      </c>
      <c r="I223" s="47" t="s">
        <v>1201</v>
      </c>
      <c r="J223" s="47" t="s">
        <v>1179</v>
      </c>
    </row>
    <row r="224" spans="1:10" ht="15.6" x14ac:dyDescent="0.3">
      <c r="A224" s="47" t="s">
        <v>1418</v>
      </c>
      <c r="B224" s="47" t="s">
        <v>975</v>
      </c>
      <c r="C224" s="47">
        <f t="shared" si="3"/>
        <v>2023</v>
      </c>
      <c r="D224" s="47">
        <f>MONTH(Table2[[#This Row],[Purchase Date]])</f>
        <v>9</v>
      </c>
      <c r="E224" s="52">
        <v>45197</v>
      </c>
      <c r="F224" s="47" t="s">
        <v>1166</v>
      </c>
      <c r="G224" s="49">
        <v>1578.61</v>
      </c>
      <c r="H224" s="47" t="s">
        <v>1176</v>
      </c>
      <c r="I224" s="47" t="s">
        <v>1189</v>
      </c>
      <c r="J224" s="47" t="s">
        <v>1185</v>
      </c>
    </row>
    <row r="225" spans="1:10" ht="15.6" x14ac:dyDescent="0.3">
      <c r="A225" s="47" t="s">
        <v>1460</v>
      </c>
      <c r="B225" s="47" t="s">
        <v>1075</v>
      </c>
      <c r="C225" s="47">
        <f t="shared" si="3"/>
        <v>2023</v>
      </c>
      <c r="D225" s="47">
        <f>MONTH(Table2[[#This Row],[Purchase Date]])</f>
        <v>10</v>
      </c>
      <c r="E225" s="52">
        <v>45213</v>
      </c>
      <c r="F225" s="47" t="s">
        <v>1164</v>
      </c>
      <c r="G225" s="49">
        <v>1178.76</v>
      </c>
      <c r="H225" s="47" t="s">
        <v>1174</v>
      </c>
      <c r="I225" s="47" t="s">
        <v>1186</v>
      </c>
      <c r="J225" s="47" t="s">
        <v>1179</v>
      </c>
    </row>
    <row r="226" spans="1:10" ht="15.6" x14ac:dyDescent="0.3">
      <c r="A226" s="47" t="s">
        <v>1393</v>
      </c>
      <c r="B226" s="47" t="s">
        <v>931</v>
      </c>
      <c r="C226" s="47">
        <f t="shared" si="3"/>
        <v>2023</v>
      </c>
      <c r="D226" s="47">
        <f>MONTH(Table2[[#This Row],[Purchase Date]])</f>
        <v>10</v>
      </c>
      <c r="E226" s="52">
        <v>45224</v>
      </c>
      <c r="F226" s="47" t="s">
        <v>1169</v>
      </c>
      <c r="G226" s="49">
        <v>229.56</v>
      </c>
      <c r="H226" s="47" t="s">
        <v>1176</v>
      </c>
      <c r="I226" s="47" t="s">
        <v>1181</v>
      </c>
      <c r="J226" s="47" t="s">
        <v>1179</v>
      </c>
    </row>
    <row r="227" spans="1:10" ht="15.6" x14ac:dyDescent="0.3">
      <c r="A227" s="47" t="s">
        <v>1265</v>
      </c>
      <c r="B227" s="47" t="s">
        <v>635</v>
      </c>
      <c r="C227" s="47">
        <f t="shared" si="3"/>
        <v>2023</v>
      </c>
      <c r="D227" s="47">
        <f>MONTH(Table2[[#This Row],[Purchase Date]])</f>
        <v>10</v>
      </c>
      <c r="E227" s="52">
        <v>45226</v>
      </c>
      <c r="F227" s="47" t="s">
        <v>1164</v>
      </c>
      <c r="G227" s="49">
        <v>1549.79</v>
      </c>
      <c r="H227" s="47" t="s">
        <v>1171</v>
      </c>
      <c r="I227" s="47" t="s">
        <v>1189</v>
      </c>
      <c r="J227" s="47" t="s">
        <v>1179</v>
      </c>
    </row>
    <row r="228" spans="1:10" ht="15.6" x14ac:dyDescent="0.3">
      <c r="A228" s="47" t="s">
        <v>1408</v>
      </c>
      <c r="B228" s="47" t="s">
        <v>961</v>
      </c>
      <c r="C228" s="47">
        <f t="shared" si="3"/>
        <v>2023</v>
      </c>
      <c r="D228" s="47">
        <f>MONTH(Table2[[#This Row],[Purchase Date]])</f>
        <v>10</v>
      </c>
      <c r="E228" s="52">
        <v>45230</v>
      </c>
      <c r="F228" s="47" t="s">
        <v>1155</v>
      </c>
      <c r="G228" s="49">
        <v>340.01</v>
      </c>
      <c r="H228" s="47" t="s">
        <v>1171</v>
      </c>
      <c r="I228" s="47" t="s">
        <v>1198</v>
      </c>
      <c r="J228" s="47" t="s">
        <v>1255</v>
      </c>
    </row>
    <row r="229" spans="1:10" ht="15.6" x14ac:dyDescent="0.3">
      <c r="A229" s="47" t="s">
        <v>1409</v>
      </c>
      <c r="B229" s="47" t="s">
        <v>962</v>
      </c>
      <c r="C229" s="47">
        <f t="shared" si="3"/>
        <v>2023</v>
      </c>
      <c r="D229" s="47">
        <f>MONTH(Table2[[#This Row],[Purchase Date]])</f>
        <v>11</v>
      </c>
      <c r="E229" s="52">
        <v>45231</v>
      </c>
      <c r="F229" s="47" t="s">
        <v>1163</v>
      </c>
      <c r="G229" s="49">
        <v>291.70999999999998</v>
      </c>
      <c r="H229" s="47" t="s">
        <v>1171</v>
      </c>
      <c r="I229" s="47" t="s">
        <v>1178</v>
      </c>
      <c r="J229" s="47" t="s">
        <v>1185</v>
      </c>
    </row>
    <row r="230" spans="1:10" ht="15.6" x14ac:dyDescent="0.3">
      <c r="A230" s="47" t="s">
        <v>1322</v>
      </c>
      <c r="B230" s="47" t="s">
        <v>770</v>
      </c>
      <c r="C230" s="47">
        <f t="shared" si="3"/>
        <v>2023</v>
      </c>
      <c r="D230" s="47">
        <f>MONTH(Table2[[#This Row],[Purchase Date]])</f>
        <v>11</v>
      </c>
      <c r="E230" s="52">
        <v>45251</v>
      </c>
      <c r="F230" s="47" t="s">
        <v>1169</v>
      </c>
      <c r="G230" s="49">
        <v>1591.65</v>
      </c>
      <c r="H230" s="47" t="s">
        <v>1176</v>
      </c>
      <c r="I230" s="47" t="s">
        <v>1184</v>
      </c>
      <c r="J230" s="47" t="s">
        <v>1255</v>
      </c>
    </row>
    <row r="231" spans="1:10" ht="15.6" x14ac:dyDescent="0.3">
      <c r="A231" s="47" t="s">
        <v>1401</v>
      </c>
      <c r="B231" s="47" t="s">
        <v>948</v>
      </c>
      <c r="C231" s="47">
        <f t="shared" si="3"/>
        <v>2023</v>
      </c>
      <c r="D231" s="47">
        <f>MONTH(Table2[[#This Row],[Purchase Date]])</f>
        <v>11</v>
      </c>
      <c r="E231" s="52">
        <v>45255</v>
      </c>
      <c r="F231" s="47" t="s">
        <v>1163</v>
      </c>
      <c r="G231" s="49">
        <v>1635.61</v>
      </c>
      <c r="H231" s="47" t="s">
        <v>1171</v>
      </c>
      <c r="I231" s="47" t="s">
        <v>1202</v>
      </c>
      <c r="J231" s="47" t="s">
        <v>1185</v>
      </c>
    </row>
    <row r="232" spans="1:10" ht="15.6" x14ac:dyDescent="0.3">
      <c r="A232" s="47" t="s">
        <v>1300</v>
      </c>
      <c r="B232" s="47" t="s">
        <v>727</v>
      </c>
      <c r="C232" s="47">
        <f t="shared" si="3"/>
        <v>2023</v>
      </c>
      <c r="D232" s="47">
        <f>MONTH(Table2[[#This Row],[Purchase Date]])</f>
        <v>12</v>
      </c>
      <c r="E232" s="52">
        <v>45274</v>
      </c>
      <c r="F232" s="47" t="s">
        <v>1162</v>
      </c>
      <c r="G232" s="49">
        <v>1417.34</v>
      </c>
      <c r="H232" s="47" t="s">
        <v>1176</v>
      </c>
      <c r="I232" s="47" t="s">
        <v>1201</v>
      </c>
      <c r="J232" s="47" t="s">
        <v>1179</v>
      </c>
    </row>
    <row r="233" spans="1:10" ht="15.6" x14ac:dyDescent="0.3">
      <c r="A233" s="47" t="s">
        <v>1432</v>
      </c>
      <c r="B233" s="47" t="s">
        <v>1010</v>
      </c>
      <c r="C233" s="47">
        <f t="shared" si="3"/>
        <v>2023</v>
      </c>
      <c r="D233" s="47">
        <f>MONTH(Table2[[#This Row],[Purchase Date]])</f>
        <v>12</v>
      </c>
      <c r="E233" s="52">
        <v>45284</v>
      </c>
      <c r="F233" s="47" t="s">
        <v>1155</v>
      </c>
      <c r="G233" s="49">
        <v>1228.29</v>
      </c>
      <c r="H233" s="47" t="s">
        <v>1171</v>
      </c>
      <c r="I233" s="47" t="s">
        <v>1202</v>
      </c>
      <c r="J233" s="47" t="s">
        <v>1179</v>
      </c>
    </row>
    <row r="234" spans="1:10" ht="15.6" x14ac:dyDescent="0.3">
      <c r="A234" s="47" t="s">
        <v>1458</v>
      </c>
      <c r="B234" s="47" t="s">
        <v>1068</v>
      </c>
      <c r="C234" s="47">
        <f t="shared" si="3"/>
        <v>2024</v>
      </c>
      <c r="D234" s="47">
        <f>MONTH(Table2[[#This Row],[Purchase Date]])</f>
        <v>2</v>
      </c>
      <c r="E234" s="52">
        <v>45326</v>
      </c>
      <c r="F234" s="47" t="s">
        <v>1167</v>
      </c>
      <c r="G234" s="49">
        <v>1743.85</v>
      </c>
      <c r="H234" s="47" t="s">
        <v>1171</v>
      </c>
      <c r="I234" s="47" t="s">
        <v>1195</v>
      </c>
      <c r="J234" s="47" t="s">
        <v>1255</v>
      </c>
    </row>
    <row r="235" spans="1:10" ht="15.6" x14ac:dyDescent="0.3">
      <c r="A235" s="47" t="s">
        <v>1271</v>
      </c>
      <c r="B235" s="47" t="s">
        <v>654</v>
      </c>
      <c r="C235" s="47">
        <f t="shared" si="3"/>
        <v>2024</v>
      </c>
      <c r="D235" s="47">
        <f>MONTH(Table2[[#This Row],[Purchase Date]])</f>
        <v>2</v>
      </c>
      <c r="E235" s="52">
        <v>45328</v>
      </c>
      <c r="F235" s="47" t="s">
        <v>1166</v>
      </c>
      <c r="G235" s="49">
        <v>1686.07</v>
      </c>
      <c r="H235" s="47" t="s">
        <v>1174</v>
      </c>
      <c r="I235" s="47" t="s">
        <v>1181</v>
      </c>
      <c r="J235" s="47" t="s">
        <v>1255</v>
      </c>
    </row>
    <row r="236" spans="1:10" ht="15.6" x14ac:dyDescent="0.3">
      <c r="A236" s="47" t="s">
        <v>1392</v>
      </c>
      <c r="B236" s="47" t="s">
        <v>930</v>
      </c>
      <c r="C236" s="47">
        <f t="shared" si="3"/>
        <v>2024</v>
      </c>
      <c r="D236" s="47">
        <f>MONTH(Table2[[#This Row],[Purchase Date]])</f>
        <v>2</v>
      </c>
      <c r="E236" s="52">
        <v>45330</v>
      </c>
      <c r="F236" s="47" t="s">
        <v>1162</v>
      </c>
      <c r="G236" s="49">
        <v>734.76</v>
      </c>
      <c r="H236" s="47" t="s">
        <v>1171</v>
      </c>
      <c r="I236" s="47" t="s">
        <v>1186</v>
      </c>
      <c r="J236" s="47" t="s">
        <v>1185</v>
      </c>
    </row>
    <row r="237" spans="1:10" ht="15.6" x14ac:dyDescent="0.3">
      <c r="A237" s="47" t="s">
        <v>1358</v>
      </c>
      <c r="B237" s="47" t="s">
        <v>862</v>
      </c>
      <c r="C237" s="47">
        <f t="shared" si="3"/>
        <v>2024</v>
      </c>
      <c r="D237" s="47">
        <f>MONTH(Table2[[#This Row],[Purchase Date]])</f>
        <v>2</v>
      </c>
      <c r="E237" s="52">
        <v>45332</v>
      </c>
      <c r="F237" s="47" t="s">
        <v>1166</v>
      </c>
      <c r="G237" s="49">
        <v>995.28</v>
      </c>
      <c r="H237" s="47" t="s">
        <v>1174</v>
      </c>
      <c r="I237" s="47" t="s">
        <v>1202</v>
      </c>
      <c r="J237" s="47" t="s">
        <v>1179</v>
      </c>
    </row>
    <row r="238" spans="1:10" ht="15.6" x14ac:dyDescent="0.3">
      <c r="A238" s="47" t="s">
        <v>1389</v>
      </c>
      <c r="B238" s="47" t="s">
        <v>927</v>
      </c>
      <c r="C238" s="47">
        <f t="shared" si="3"/>
        <v>2024</v>
      </c>
      <c r="D238" s="47">
        <f>MONTH(Table2[[#This Row],[Purchase Date]])</f>
        <v>2</v>
      </c>
      <c r="E238" s="52">
        <v>45337</v>
      </c>
      <c r="F238" s="47" t="s">
        <v>1170</v>
      </c>
      <c r="G238" s="49">
        <v>1523.82</v>
      </c>
      <c r="H238" s="47" t="s">
        <v>1174</v>
      </c>
      <c r="I238" s="47" t="s">
        <v>1199</v>
      </c>
      <c r="J238" s="47" t="s">
        <v>1179</v>
      </c>
    </row>
    <row r="239" spans="1:10" ht="15.6" x14ac:dyDescent="0.3">
      <c r="A239" s="47" t="s">
        <v>1462</v>
      </c>
      <c r="B239" s="47" t="s">
        <v>1079</v>
      </c>
      <c r="C239" s="47">
        <f t="shared" si="3"/>
        <v>2024</v>
      </c>
      <c r="D239" s="47">
        <f>MONTH(Table2[[#This Row],[Purchase Date]])</f>
        <v>3</v>
      </c>
      <c r="E239" s="52">
        <v>45352</v>
      </c>
      <c r="F239" s="47" t="s">
        <v>1166</v>
      </c>
      <c r="G239" s="49">
        <v>881.21</v>
      </c>
      <c r="H239" s="47" t="s">
        <v>1171</v>
      </c>
      <c r="I239" s="47" t="s">
        <v>1189</v>
      </c>
      <c r="J239" s="47" t="s">
        <v>1185</v>
      </c>
    </row>
    <row r="240" spans="1:10" ht="15.6" x14ac:dyDescent="0.3">
      <c r="A240" s="47" t="s">
        <v>1365</v>
      </c>
      <c r="B240" s="47" t="s">
        <v>880</v>
      </c>
      <c r="C240" s="47">
        <f t="shared" si="3"/>
        <v>2024</v>
      </c>
      <c r="D240" s="47">
        <f>MONTH(Table2[[#This Row],[Purchase Date]])</f>
        <v>3</v>
      </c>
      <c r="E240" s="52">
        <v>45367</v>
      </c>
      <c r="F240" s="47" t="s">
        <v>1166</v>
      </c>
      <c r="G240" s="49">
        <v>1800.2</v>
      </c>
      <c r="H240" s="47" t="s">
        <v>1171</v>
      </c>
      <c r="I240" s="47" t="s">
        <v>1198</v>
      </c>
      <c r="J240" s="47" t="s">
        <v>1179</v>
      </c>
    </row>
    <row r="241" spans="1:10" ht="15.6" x14ac:dyDescent="0.3">
      <c r="A241" s="47" t="s">
        <v>1350</v>
      </c>
      <c r="B241" s="47" t="s">
        <v>848</v>
      </c>
      <c r="C241" s="47">
        <f t="shared" si="3"/>
        <v>2024</v>
      </c>
      <c r="D241" s="47">
        <f>MONTH(Table2[[#This Row],[Purchase Date]])</f>
        <v>4</v>
      </c>
      <c r="E241" s="52">
        <v>45391</v>
      </c>
      <c r="F241" s="47" t="s">
        <v>1169</v>
      </c>
      <c r="G241" s="49">
        <v>785</v>
      </c>
      <c r="H241" s="47" t="s">
        <v>1171</v>
      </c>
      <c r="I241" s="47" t="s">
        <v>1178</v>
      </c>
      <c r="J241" s="47" t="s">
        <v>1179</v>
      </c>
    </row>
    <row r="242" spans="1:10" ht="15.6" x14ac:dyDescent="0.3">
      <c r="A242" s="47" t="s">
        <v>1379</v>
      </c>
      <c r="B242" s="47" t="s">
        <v>907</v>
      </c>
      <c r="C242" s="47">
        <f t="shared" si="3"/>
        <v>2024</v>
      </c>
      <c r="D242" s="47">
        <f>MONTH(Table2[[#This Row],[Purchase Date]])</f>
        <v>4</v>
      </c>
      <c r="E242" s="52">
        <v>45399</v>
      </c>
      <c r="F242" s="47" t="s">
        <v>1167</v>
      </c>
      <c r="G242" s="49">
        <v>1792.53</v>
      </c>
      <c r="H242" s="47" t="s">
        <v>1171</v>
      </c>
      <c r="I242" s="47" t="s">
        <v>1201</v>
      </c>
      <c r="J242" s="47" t="s">
        <v>1179</v>
      </c>
    </row>
    <row r="243" spans="1:10" ht="15.6" x14ac:dyDescent="0.3">
      <c r="A243" s="47" t="s">
        <v>1373</v>
      </c>
      <c r="B243" s="47" t="s">
        <v>898</v>
      </c>
      <c r="C243" s="47">
        <f t="shared" si="3"/>
        <v>2024</v>
      </c>
      <c r="D243" s="47">
        <f>MONTH(Table2[[#This Row],[Purchase Date]])</f>
        <v>4</v>
      </c>
      <c r="E243" s="52">
        <v>45408</v>
      </c>
      <c r="F243" s="47" t="s">
        <v>1160</v>
      </c>
      <c r="G243" s="49">
        <v>1031.0999999999999</v>
      </c>
      <c r="H243" s="47" t="s">
        <v>1171</v>
      </c>
      <c r="I243" s="47" t="s">
        <v>1184</v>
      </c>
      <c r="J243" s="47" t="s">
        <v>1185</v>
      </c>
    </row>
    <row r="244" spans="1:10" ht="15.6" x14ac:dyDescent="0.3">
      <c r="A244" s="47" t="s">
        <v>1306</v>
      </c>
      <c r="B244" s="47" t="s">
        <v>734</v>
      </c>
      <c r="C244" s="47">
        <f t="shared" si="3"/>
        <v>2024</v>
      </c>
      <c r="D244" s="47">
        <f>MONTH(Table2[[#This Row],[Purchase Date]])</f>
        <v>5</v>
      </c>
      <c r="E244" s="52">
        <v>45416</v>
      </c>
      <c r="F244" s="47" t="s">
        <v>1162</v>
      </c>
      <c r="G244" s="49">
        <v>595.35</v>
      </c>
      <c r="H244" s="47" t="s">
        <v>1174</v>
      </c>
      <c r="I244" s="47" t="s">
        <v>1201</v>
      </c>
      <c r="J244" s="47" t="s">
        <v>1185</v>
      </c>
    </row>
    <row r="245" spans="1:10" ht="15.6" x14ac:dyDescent="0.3">
      <c r="A245" s="47" t="s">
        <v>1304</v>
      </c>
      <c r="B245" s="47" t="s">
        <v>732</v>
      </c>
      <c r="C245" s="47">
        <f t="shared" si="3"/>
        <v>2024</v>
      </c>
      <c r="D245" s="47">
        <f>MONTH(Table2[[#This Row],[Purchase Date]])</f>
        <v>6</v>
      </c>
      <c r="E245" s="52">
        <v>45470</v>
      </c>
      <c r="F245" s="47" t="s">
        <v>1155</v>
      </c>
      <c r="G245" s="49">
        <v>1559.04</v>
      </c>
      <c r="H245" s="47" t="s">
        <v>1171</v>
      </c>
      <c r="I245" s="47" t="s">
        <v>1184</v>
      </c>
      <c r="J245" s="47" t="s">
        <v>1185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A19BF-C8C3-4DAB-AE9F-2E1D413D052D}">
  <sheetPr>
    <tabColor rgb="FF00B0F0"/>
  </sheetPr>
  <dimension ref="B1:U63"/>
  <sheetViews>
    <sheetView showGridLines="0" tabSelected="1" zoomScale="102" zoomScaleNormal="102" workbookViewId="0">
      <selection activeCell="F45" sqref="F45"/>
    </sheetView>
  </sheetViews>
  <sheetFormatPr defaultRowHeight="14.4" x14ac:dyDescent="0.3"/>
  <cols>
    <col min="6" max="8" width="8.88671875" customWidth="1"/>
  </cols>
  <sheetData>
    <row r="1" spans="2:8" ht="28.8" x14ac:dyDescent="0.55000000000000004">
      <c r="G1" s="55"/>
      <c r="H1" s="57"/>
    </row>
    <row r="2" spans="2:8" ht="28.8" x14ac:dyDescent="0.55000000000000004">
      <c r="G2" s="55"/>
      <c r="H2" s="55"/>
    </row>
    <row r="3" spans="2:8" ht="28.8" x14ac:dyDescent="0.55000000000000004">
      <c r="G3" s="55"/>
      <c r="H3" s="57"/>
    </row>
    <row r="4" spans="2:8" ht="28.8" x14ac:dyDescent="0.55000000000000004">
      <c r="G4" s="55"/>
      <c r="H4" s="56"/>
    </row>
    <row r="5" spans="2:8" ht="28.8" x14ac:dyDescent="0.55000000000000004">
      <c r="G5" s="55"/>
      <c r="H5" s="56"/>
    </row>
    <row r="16" spans="2:8" ht="18" x14ac:dyDescent="0.3">
      <c r="B16" s="58"/>
    </row>
    <row r="23" spans="21:21" x14ac:dyDescent="0.3">
      <c r="U23" s="65"/>
    </row>
    <row r="63" spans="6:6" ht="40.799999999999997" x14ac:dyDescent="0.3">
      <c r="F63" s="59"/>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Original Data</vt:lpstr>
      <vt:lpstr>Sales</vt:lpstr>
      <vt:lpstr>Orders</vt:lpstr>
      <vt:lpstr>Payment Status</vt:lpstr>
      <vt:lpstr>Delivary Status</vt:lpstr>
      <vt:lpstr>Product Analysis</vt:lpstr>
      <vt:lpstr>City Analsys</vt:lpstr>
      <vt:lpstr>Clean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ARNAB PAUL</cp:lastModifiedBy>
  <dcterms:created xsi:type="dcterms:W3CDTF">2024-08-05T15:02:11Z</dcterms:created>
  <dcterms:modified xsi:type="dcterms:W3CDTF">2026-04-25T13:21:51Z</dcterms:modified>
</cp:coreProperties>
</file>